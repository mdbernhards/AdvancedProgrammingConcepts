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ni Year 2\AdvancedProgrammingConcepts\Week8\"/>
    </mc:Choice>
  </mc:AlternateContent>
  <xr:revisionPtr revIDLastSave="0" documentId="13_ncr:1_{41A0BCB2-849D-42FB-98D6-4B6B8CBEB124}" xr6:coauthVersionLast="47" xr6:coauthVersionMax="47" xr10:uidLastSave="{00000000-0000-0000-0000-000000000000}"/>
  <bookViews>
    <workbookView xWindow="-120" yWindow="-120" windowWidth="38640" windowHeight="21240" activeTab="11" xr2:uid="{00000000-000D-0000-FFFF-FFFF00000000}"/>
  </bookViews>
  <sheets>
    <sheet name="Start" sheetId="12" r:id="rId1"/>
    <sheet name="Mārtiņš" sheetId="23" r:id="rId2"/>
    <sheet name="2" sheetId="22" r:id="rId3"/>
    <sheet name="3" sheetId="24" r:id="rId4"/>
    <sheet name="4" sheetId="25" r:id="rId5"/>
    <sheet name="5" sheetId="26" r:id="rId6"/>
    <sheet name="6" sheetId="27" r:id="rId7"/>
    <sheet name="7" sheetId="18" r:id="rId8"/>
    <sheet name="8" sheetId="28" r:id="rId9"/>
    <sheet name="Total" sheetId="10" r:id="rId10"/>
    <sheet name="Graph" sheetId="11" r:id="rId11"/>
    <sheet name="Belbin Roles" sheetId="20" r:id="rId12"/>
    <sheet name="Belbin Roles (2)" sheetId="21" r:id="rId13"/>
  </sheets>
  <calcPr calcId="191029"/>
</workbook>
</file>

<file path=xl/calcChain.xml><?xml version="1.0" encoding="utf-8"?>
<calcChain xmlns="http://schemas.openxmlformats.org/spreadsheetml/2006/main">
  <c r="EV4" i="25" l="1"/>
  <c r="DX3" i="25"/>
  <c r="EV4" i="24"/>
  <c r="DX3" i="24"/>
  <c r="EV4" i="22"/>
  <c r="DX3" i="22"/>
  <c r="EV4" i="23"/>
  <c r="DX3" i="23"/>
  <c r="EH17" i="28"/>
  <c r="EG17" i="28"/>
  <c r="EF17" i="28"/>
  <c r="EE17" i="28"/>
  <c r="ED17" i="28"/>
  <c r="EC17" i="28"/>
  <c r="EB17" i="28"/>
  <c r="EA17" i="28"/>
  <c r="DZ17" i="28"/>
  <c r="EH15" i="28"/>
  <c r="EG15" i="28"/>
  <c r="EF15" i="28"/>
  <c r="EE15" i="28"/>
  <c r="ED15" i="28"/>
  <c r="EC15" i="28"/>
  <c r="EB15" i="28"/>
  <c r="EA15" i="28"/>
  <c r="DZ15" i="28"/>
  <c r="EU13" i="28"/>
  <c r="EH13" i="28"/>
  <c r="EG13" i="28"/>
  <c r="EF13" i="28"/>
  <c r="EE13" i="28"/>
  <c r="ED13" i="28"/>
  <c r="EC13" i="28"/>
  <c r="EB13" i="28"/>
  <c r="EA13" i="28"/>
  <c r="DZ13" i="28"/>
  <c r="EU12" i="28"/>
  <c r="EU11" i="28"/>
  <c r="EH11" i="28"/>
  <c r="EG11" i="28"/>
  <c r="EF11" i="28"/>
  <c r="EE11" i="28"/>
  <c r="ED11" i="28"/>
  <c r="EC11" i="28"/>
  <c r="EB11" i="28"/>
  <c r="EA11" i="28"/>
  <c r="DZ11" i="28"/>
  <c r="DM11" i="28"/>
  <c r="DN15" i="28" s="1"/>
  <c r="CU11" i="28"/>
  <c r="CV13" i="28" s="1"/>
  <c r="CC11" i="28"/>
  <c r="CD11" i="28" s="1"/>
  <c r="BK11" i="28"/>
  <c r="BL13" i="28" s="1"/>
  <c r="AS11" i="28"/>
  <c r="AT15" i="28" s="1"/>
  <c r="AA11" i="28"/>
  <c r="AB13" i="28" s="1"/>
  <c r="I11" i="28"/>
  <c r="J11" i="28" s="1"/>
  <c r="EU10" i="28"/>
  <c r="EU9" i="28"/>
  <c r="EH9" i="28"/>
  <c r="EG9" i="28"/>
  <c r="EF9" i="28"/>
  <c r="EE9" i="28"/>
  <c r="ED9" i="28"/>
  <c r="EC9" i="28"/>
  <c r="EB9" i="28"/>
  <c r="EA9" i="28"/>
  <c r="DZ9" i="28"/>
  <c r="EU8" i="28"/>
  <c r="EU7" i="28"/>
  <c r="EH7" i="28"/>
  <c r="EG7" i="28"/>
  <c r="EF7" i="28"/>
  <c r="EE7" i="28"/>
  <c r="ED7" i="28"/>
  <c r="EC7" i="28"/>
  <c r="EB7" i="28"/>
  <c r="EA7" i="28"/>
  <c r="DZ7" i="28"/>
  <c r="EU6" i="28"/>
  <c r="EU5" i="28"/>
  <c r="EH5" i="28"/>
  <c r="EG5" i="28"/>
  <c r="EF5" i="28"/>
  <c r="EE5" i="28"/>
  <c r="ED5" i="28"/>
  <c r="EC5" i="28"/>
  <c r="EB5" i="28"/>
  <c r="EA5" i="28"/>
  <c r="DZ5" i="28"/>
  <c r="EV4" i="28"/>
  <c r="DX3" i="28"/>
  <c r="EH17" i="27"/>
  <c r="EG17" i="27"/>
  <c r="EF17" i="27"/>
  <c r="EE17" i="27"/>
  <c r="ED17" i="27"/>
  <c r="EC17" i="27"/>
  <c r="EB17" i="27"/>
  <c r="EA17" i="27"/>
  <c r="DZ17" i="27"/>
  <c r="EH15" i="27"/>
  <c r="EG15" i="27"/>
  <c r="EF15" i="27"/>
  <c r="EE15" i="27"/>
  <c r="ED15" i="27"/>
  <c r="EC15" i="27"/>
  <c r="EB15" i="27"/>
  <c r="EA15" i="27"/>
  <c r="DZ15" i="27"/>
  <c r="EU13" i="27"/>
  <c r="EH13" i="27"/>
  <c r="EG13" i="27"/>
  <c r="EF13" i="27"/>
  <c r="EE13" i="27"/>
  <c r="ED13" i="27"/>
  <c r="EC13" i="27"/>
  <c r="EB13" i="27"/>
  <c r="EA13" i="27"/>
  <c r="DZ13" i="27"/>
  <c r="EU12" i="27"/>
  <c r="EU11" i="27"/>
  <c r="EH11" i="27"/>
  <c r="EG11" i="27"/>
  <c r="EF11" i="27"/>
  <c r="EE11" i="27"/>
  <c r="ED11" i="27"/>
  <c r="EC11" i="27"/>
  <c r="EB11" i="27"/>
  <c r="EA11" i="27"/>
  <c r="DZ11" i="27"/>
  <c r="DM11" i="27"/>
  <c r="DN15" i="27" s="1"/>
  <c r="CU11" i="27"/>
  <c r="CV13" i="27" s="1"/>
  <c r="CC11" i="27"/>
  <c r="CD11" i="27" s="1"/>
  <c r="BK11" i="27"/>
  <c r="BL13" i="27" s="1"/>
  <c r="AS11" i="27"/>
  <c r="AT15" i="27" s="1"/>
  <c r="AA11" i="27"/>
  <c r="AB13" i="27" s="1"/>
  <c r="I11" i="27"/>
  <c r="J11" i="27" s="1"/>
  <c r="EU10" i="27"/>
  <c r="EU9" i="27"/>
  <c r="EH9" i="27"/>
  <c r="EG9" i="27"/>
  <c r="EF9" i="27"/>
  <c r="EE9" i="27"/>
  <c r="ED9" i="27"/>
  <c r="EC9" i="27"/>
  <c r="EB9" i="27"/>
  <c r="EA9" i="27"/>
  <c r="DZ9" i="27"/>
  <c r="EU8" i="27"/>
  <c r="EU7" i="27"/>
  <c r="EH7" i="27"/>
  <c r="EG7" i="27"/>
  <c r="EF7" i="27"/>
  <c r="EE7" i="27"/>
  <c r="ED7" i="27"/>
  <c r="EC7" i="27"/>
  <c r="EB7" i="27"/>
  <c r="EA7" i="27"/>
  <c r="DZ7" i="27"/>
  <c r="EU6" i="27"/>
  <c r="EU5" i="27"/>
  <c r="EH5" i="27"/>
  <c r="EG5" i="27"/>
  <c r="EF5" i="27"/>
  <c r="EE5" i="27"/>
  <c r="ED5" i="27"/>
  <c r="EC5" i="27"/>
  <c r="EB5" i="27"/>
  <c r="EA5" i="27"/>
  <c r="DZ5" i="27"/>
  <c r="EV4" i="27"/>
  <c r="DX3" i="27"/>
  <c r="EH17" i="26"/>
  <c r="EG17" i="26"/>
  <c r="EF17" i="26"/>
  <c r="EE17" i="26"/>
  <c r="ED17" i="26"/>
  <c r="EC17" i="26"/>
  <c r="EB17" i="26"/>
  <c r="EA17" i="26"/>
  <c r="DZ17" i="26"/>
  <c r="EH15" i="26"/>
  <c r="EG15" i="26"/>
  <c r="EF15" i="26"/>
  <c r="EE15" i="26"/>
  <c r="ED15" i="26"/>
  <c r="EC15" i="26"/>
  <c r="EB15" i="26"/>
  <c r="EA15" i="26"/>
  <c r="DZ15" i="26"/>
  <c r="EU13" i="26"/>
  <c r="EH13" i="26"/>
  <c r="EG13" i="26"/>
  <c r="EF13" i="26"/>
  <c r="EE13" i="26"/>
  <c r="ED13" i="26"/>
  <c r="EC13" i="26"/>
  <c r="EB13" i="26"/>
  <c r="EA13" i="26"/>
  <c r="DZ13" i="26"/>
  <c r="EU12" i="26"/>
  <c r="EU11" i="26"/>
  <c r="EH11" i="26"/>
  <c r="EG11" i="26"/>
  <c r="EF11" i="26"/>
  <c r="EE11" i="26"/>
  <c r="ED11" i="26"/>
  <c r="EC11" i="26"/>
  <c r="EB11" i="26"/>
  <c r="EA11" i="26"/>
  <c r="DZ11" i="26"/>
  <c r="DM11" i="26"/>
  <c r="DN15" i="26" s="1"/>
  <c r="CU11" i="26"/>
  <c r="CV13" i="26" s="1"/>
  <c r="CC11" i="26"/>
  <c r="CD11" i="26" s="1"/>
  <c r="BK11" i="26"/>
  <c r="BL13" i="26" s="1"/>
  <c r="AS11" i="26"/>
  <c r="AT15" i="26" s="1"/>
  <c r="AA11" i="26"/>
  <c r="AB13" i="26" s="1"/>
  <c r="I11" i="26"/>
  <c r="J11" i="26" s="1"/>
  <c r="EU10" i="26"/>
  <c r="EU9" i="26"/>
  <c r="EH9" i="26"/>
  <c r="EG9" i="26"/>
  <c r="EF9" i="26"/>
  <c r="EE9" i="26"/>
  <c r="ED9" i="26"/>
  <c r="EC9" i="26"/>
  <c r="EB9" i="26"/>
  <c r="EA9" i="26"/>
  <c r="DZ9" i="26"/>
  <c r="EU8" i="26"/>
  <c r="EU7" i="26"/>
  <c r="EH7" i="26"/>
  <c r="EG7" i="26"/>
  <c r="EF7" i="26"/>
  <c r="EE7" i="26"/>
  <c r="ED7" i="26"/>
  <c r="EC7" i="26"/>
  <c r="EB7" i="26"/>
  <c r="EA7" i="26"/>
  <c r="DZ7" i="26"/>
  <c r="EU6" i="26"/>
  <c r="EU5" i="26"/>
  <c r="EH5" i="26"/>
  <c r="EG5" i="26"/>
  <c r="EF5" i="26"/>
  <c r="EE5" i="26"/>
  <c r="ED5" i="26"/>
  <c r="EC5" i="26"/>
  <c r="EB5" i="26"/>
  <c r="EA5" i="26"/>
  <c r="DZ5" i="26"/>
  <c r="EV4" i="26"/>
  <c r="DX3" i="26"/>
  <c r="EH17" i="25"/>
  <c r="EG17" i="25"/>
  <c r="EF17" i="25"/>
  <c r="EE17" i="25"/>
  <c r="ED17" i="25"/>
  <c r="EC17" i="25"/>
  <c r="EB17" i="25"/>
  <c r="EA17" i="25"/>
  <c r="DZ17" i="25"/>
  <c r="EH15" i="25"/>
  <c r="EG15" i="25"/>
  <c r="EF15" i="25"/>
  <c r="EE15" i="25"/>
  <c r="ED15" i="25"/>
  <c r="EC15" i="25"/>
  <c r="EB15" i="25"/>
  <c r="EA15" i="25"/>
  <c r="DZ15" i="25"/>
  <c r="EU13" i="25"/>
  <c r="EH13" i="25"/>
  <c r="EG13" i="25"/>
  <c r="EF13" i="25"/>
  <c r="EE13" i="25"/>
  <c r="ED13" i="25"/>
  <c r="EC13" i="25"/>
  <c r="EB13" i="25"/>
  <c r="EA13" i="25"/>
  <c r="DZ13" i="25"/>
  <c r="EU12" i="25"/>
  <c r="EU11" i="25"/>
  <c r="EH11" i="25"/>
  <c r="EG11" i="25"/>
  <c r="EF11" i="25"/>
  <c r="EE11" i="25"/>
  <c r="ED11" i="25"/>
  <c r="EC11" i="25"/>
  <c r="EB11" i="25"/>
  <c r="EA11" i="25"/>
  <c r="DZ11" i="25"/>
  <c r="DM11" i="25"/>
  <c r="DN15" i="25" s="1"/>
  <c r="CU11" i="25"/>
  <c r="CV13" i="25" s="1"/>
  <c r="CC11" i="25"/>
  <c r="CD11" i="25" s="1"/>
  <c r="BK11" i="25"/>
  <c r="BL13" i="25" s="1"/>
  <c r="AS11" i="25"/>
  <c r="AT15" i="25" s="1"/>
  <c r="AA11" i="25"/>
  <c r="AB13" i="25" s="1"/>
  <c r="I11" i="25"/>
  <c r="J11" i="25" s="1"/>
  <c r="EU10" i="25"/>
  <c r="EU9" i="25"/>
  <c r="EH9" i="25"/>
  <c r="EG9" i="25"/>
  <c r="EF9" i="25"/>
  <c r="EE9" i="25"/>
  <c r="ED9" i="25"/>
  <c r="EC9" i="25"/>
  <c r="EB9" i="25"/>
  <c r="EA9" i="25"/>
  <c r="DZ9" i="25"/>
  <c r="EU8" i="25"/>
  <c r="EU7" i="25"/>
  <c r="EH7" i="25"/>
  <c r="EG7" i="25"/>
  <c r="EF7" i="25"/>
  <c r="EE7" i="25"/>
  <c r="ED7" i="25"/>
  <c r="EC7" i="25"/>
  <c r="EB7" i="25"/>
  <c r="EA7" i="25"/>
  <c r="DZ7" i="25"/>
  <c r="EU6" i="25"/>
  <c r="EU5" i="25"/>
  <c r="EH5" i="25"/>
  <c r="EG5" i="25"/>
  <c r="EF5" i="25"/>
  <c r="EE5" i="25"/>
  <c r="ED5" i="25"/>
  <c r="EC5" i="25"/>
  <c r="EB5" i="25"/>
  <c r="EA5" i="25"/>
  <c r="DZ5" i="25"/>
  <c r="EH17" i="24"/>
  <c r="EG17" i="24"/>
  <c r="EF17" i="24"/>
  <c r="EE17" i="24"/>
  <c r="ED17" i="24"/>
  <c r="EC17" i="24"/>
  <c r="EB17" i="24"/>
  <c r="EA17" i="24"/>
  <c r="DZ17" i="24"/>
  <c r="EH15" i="24"/>
  <c r="EG15" i="24"/>
  <c r="EF15" i="24"/>
  <c r="EE15" i="24"/>
  <c r="ED15" i="24"/>
  <c r="EC15" i="24"/>
  <c r="EB15" i="24"/>
  <c r="EA15" i="24"/>
  <c r="DZ15" i="24"/>
  <c r="EU13" i="24"/>
  <c r="EH13" i="24"/>
  <c r="EG13" i="24"/>
  <c r="EF13" i="24"/>
  <c r="EE13" i="24"/>
  <c r="ED13" i="24"/>
  <c r="EC13" i="24"/>
  <c r="EB13" i="24"/>
  <c r="EA13" i="24"/>
  <c r="DZ13" i="24"/>
  <c r="EU12" i="24"/>
  <c r="EU11" i="24"/>
  <c r="EH11" i="24"/>
  <c r="EG11" i="24"/>
  <c r="EF11" i="24"/>
  <c r="EE11" i="24"/>
  <c r="ED11" i="24"/>
  <c r="EC11" i="24"/>
  <c r="EB11" i="24"/>
  <c r="EA11" i="24"/>
  <c r="DZ11" i="24"/>
  <c r="DM11" i="24"/>
  <c r="DN15" i="24" s="1"/>
  <c r="CU11" i="24"/>
  <c r="CV13" i="24" s="1"/>
  <c r="CC11" i="24"/>
  <c r="CD11" i="24" s="1"/>
  <c r="BK11" i="24"/>
  <c r="BL13" i="24" s="1"/>
  <c r="AS11" i="24"/>
  <c r="AT15" i="24" s="1"/>
  <c r="AA11" i="24"/>
  <c r="AB13" i="24" s="1"/>
  <c r="I11" i="24"/>
  <c r="J11" i="24" s="1"/>
  <c r="EU10" i="24"/>
  <c r="EU9" i="24"/>
  <c r="EH9" i="24"/>
  <c r="EG9" i="24"/>
  <c r="EF9" i="24"/>
  <c r="EE9" i="24"/>
  <c r="ED9" i="24"/>
  <c r="EC9" i="24"/>
  <c r="EB9" i="24"/>
  <c r="EA9" i="24"/>
  <c r="DZ9" i="24"/>
  <c r="EU8" i="24"/>
  <c r="EU7" i="24"/>
  <c r="EH7" i="24"/>
  <c r="EG7" i="24"/>
  <c r="EF7" i="24"/>
  <c r="EE7" i="24"/>
  <c r="ED7" i="24"/>
  <c r="EC7" i="24"/>
  <c r="EB7" i="24"/>
  <c r="EA7" i="24"/>
  <c r="DZ7" i="24"/>
  <c r="EU6" i="24"/>
  <c r="EU5" i="24"/>
  <c r="EH5" i="24"/>
  <c r="EG5" i="24"/>
  <c r="EF5" i="24"/>
  <c r="EE5" i="24"/>
  <c r="ED5" i="24"/>
  <c r="EC5" i="24"/>
  <c r="EB5" i="24"/>
  <c r="EA5" i="24"/>
  <c r="DZ5" i="24"/>
  <c r="EH17" i="23"/>
  <c r="EG17" i="23"/>
  <c r="EF17" i="23"/>
  <c r="EE17" i="23"/>
  <c r="ED17" i="23"/>
  <c r="EC17" i="23"/>
  <c r="EB17" i="23"/>
  <c r="EA17" i="23"/>
  <c r="DZ17" i="23"/>
  <c r="EH15" i="23"/>
  <c r="EG15" i="23"/>
  <c r="EF15" i="23"/>
  <c r="EE15" i="23"/>
  <c r="ED15" i="23"/>
  <c r="EC15" i="23"/>
  <c r="EB15" i="23"/>
  <c r="EA15" i="23"/>
  <c r="DZ15" i="23"/>
  <c r="EU13" i="23"/>
  <c r="EH13" i="23"/>
  <c r="EG13" i="23"/>
  <c r="EF13" i="23"/>
  <c r="EE13" i="23"/>
  <c r="ED13" i="23"/>
  <c r="EC13" i="23"/>
  <c r="EB13" i="23"/>
  <c r="EA13" i="23"/>
  <c r="DZ13" i="23"/>
  <c r="EU12" i="23"/>
  <c r="EU11" i="23"/>
  <c r="EH11" i="23"/>
  <c r="EG11" i="23"/>
  <c r="EF11" i="23"/>
  <c r="EE11" i="23"/>
  <c r="ED11" i="23"/>
  <c r="EC11" i="23"/>
  <c r="EB11" i="23"/>
  <c r="EA11" i="23"/>
  <c r="DZ11" i="23"/>
  <c r="DM11" i="23"/>
  <c r="DN15" i="23" s="1"/>
  <c r="CU11" i="23"/>
  <c r="CV13" i="23" s="1"/>
  <c r="CC11" i="23"/>
  <c r="CD11" i="23" s="1"/>
  <c r="BK11" i="23"/>
  <c r="BL13" i="23" s="1"/>
  <c r="AS11" i="23"/>
  <c r="AT15" i="23" s="1"/>
  <c r="AA11" i="23"/>
  <c r="AB13" i="23" s="1"/>
  <c r="I11" i="23"/>
  <c r="J11" i="23" s="1"/>
  <c r="EU10" i="23"/>
  <c r="EU9" i="23"/>
  <c r="EH9" i="23"/>
  <c r="EG9" i="23"/>
  <c r="EF9" i="23"/>
  <c r="EE9" i="23"/>
  <c r="ED9" i="23"/>
  <c r="EC9" i="23"/>
  <c r="EB9" i="23"/>
  <c r="EA9" i="23"/>
  <c r="DZ9" i="23"/>
  <c r="EU8" i="23"/>
  <c r="EU7" i="23"/>
  <c r="EH7" i="23"/>
  <c r="EG7" i="23"/>
  <c r="EF7" i="23"/>
  <c r="EE7" i="23"/>
  <c r="ED7" i="23"/>
  <c r="EC7" i="23"/>
  <c r="EB7" i="23"/>
  <c r="EA7" i="23"/>
  <c r="DZ7" i="23"/>
  <c r="EU6" i="23"/>
  <c r="EU5" i="23"/>
  <c r="EH5" i="23"/>
  <c r="EG5" i="23"/>
  <c r="EF5" i="23"/>
  <c r="EE5" i="23"/>
  <c r="ED5" i="23"/>
  <c r="EC5" i="23"/>
  <c r="EB5" i="23"/>
  <c r="EA5" i="23"/>
  <c r="DZ5" i="23"/>
  <c r="EH17" i="22"/>
  <c r="EG17" i="22"/>
  <c r="EF17" i="22"/>
  <c r="EE17" i="22"/>
  <c r="ED17" i="22"/>
  <c r="EC17" i="22"/>
  <c r="EB17" i="22"/>
  <c r="EA17" i="22"/>
  <c r="DZ17" i="22"/>
  <c r="EH15" i="22"/>
  <c r="EG15" i="22"/>
  <c r="EF15" i="22"/>
  <c r="EE15" i="22"/>
  <c r="ED15" i="22"/>
  <c r="EC15" i="22"/>
  <c r="EB15" i="22"/>
  <c r="EA15" i="22"/>
  <c r="DZ15" i="22"/>
  <c r="EU13" i="22"/>
  <c r="EH13" i="22"/>
  <c r="EG13" i="22"/>
  <c r="EF13" i="22"/>
  <c r="EE13" i="22"/>
  <c r="ED13" i="22"/>
  <c r="EC13" i="22"/>
  <c r="EB13" i="22"/>
  <c r="EA13" i="22"/>
  <c r="DZ13" i="22"/>
  <c r="EU12" i="22"/>
  <c r="EU11" i="22"/>
  <c r="EH11" i="22"/>
  <c r="EG11" i="22"/>
  <c r="EF11" i="22"/>
  <c r="EE11" i="22"/>
  <c r="ED11" i="22"/>
  <c r="EC11" i="22"/>
  <c r="EB11" i="22"/>
  <c r="EA11" i="22"/>
  <c r="DZ11" i="22"/>
  <c r="DM11" i="22"/>
  <c r="DN13" i="22" s="1"/>
  <c r="CU11" i="22"/>
  <c r="CV15" i="22" s="1"/>
  <c r="CC11" i="22"/>
  <c r="CD13" i="22" s="1"/>
  <c r="BK11" i="22"/>
  <c r="BL15" i="22" s="1"/>
  <c r="AS11" i="22"/>
  <c r="AT13" i="22" s="1"/>
  <c r="AA11" i="22"/>
  <c r="AB15" i="22" s="1"/>
  <c r="I11" i="22"/>
  <c r="J13" i="22" s="1"/>
  <c r="EU10" i="22"/>
  <c r="EU9" i="22"/>
  <c r="EH9" i="22"/>
  <c r="EG9" i="22"/>
  <c r="EF9" i="22"/>
  <c r="EE9" i="22"/>
  <c r="ED9" i="22"/>
  <c r="EC9" i="22"/>
  <c r="EB9" i="22"/>
  <c r="EA9" i="22"/>
  <c r="DZ9" i="22"/>
  <c r="EU8" i="22"/>
  <c r="EU7" i="22"/>
  <c r="EH7" i="22"/>
  <c r="EG7" i="22"/>
  <c r="EF7" i="22"/>
  <c r="EE7" i="22"/>
  <c r="ED7" i="22"/>
  <c r="EC7" i="22"/>
  <c r="EB7" i="22"/>
  <c r="EA7" i="22"/>
  <c r="DZ7" i="22"/>
  <c r="EU6" i="22"/>
  <c r="EU5" i="22"/>
  <c r="EH5" i="22"/>
  <c r="EG5" i="22"/>
  <c r="EF5" i="22"/>
  <c r="EE5" i="22"/>
  <c r="ED5" i="22"/>
  <c r="EC5" i="22"/>
  <c r="EB5" i="22"/>
  <c r="EA5" i="22"/>
  <c r="DZ5" i="22"/>
  <c r="EG19" i="28" l="1"/>
  <c r="EM19" i="28" s="1"/>
  <c r="EV12" i="28" s="1"/>
  <c r="EC19" i="28"/>
  <c r="EM11" i="28" s="1"/>
  <c r="EV8" i="28" s="1"/>
  <c r="EB19" i="28"/>
  <c r="EM9" i="28" s="1"/>
  <c r="EV7" i="28" s="1"/>
  <c r="EE19" i="28"/>
  <c r="EM15" i="28" s="1"/>
  <c r="EV10" i="28" s="1"/>
  <c r="EA19" i="28"/>
  <c r="EM7" i="28" s="1"/>
  <c r="EV6" i="28" s="1"/>
  <c r="EH19" i="28"/>
  <c r="EM21" i="28" s="1"/>
  <c r="EV13" i="28" s="1"/>
  <c r="DZ19" i="28"/>
  <c r="EM5" i="28" s="1"/>
  <c r="EF19" i="28"/>
  <c r="EM17" i="28" s="1"/>
  <c r="ED19" i="28"/>
  <c r="EM13" i="28" s="1"/>
  <c r="EB19" i="27"/>
  <c r="EM9" i="27" s="1"/>
  <c r="EV7" i="27" s="1"/>
  <c r="EG19" i="26"/>
  <c r="EM19" i="26" s="1"/>
  <c r="EV12" i="26" s="1"/>
  <c r="BL13" i="22"/>
  <c r="DN13" i="27"/>
  <c r="AT13" i="27"/>
  <c r="EA19" i="27"/>
  <c r="EM7" i="27" s="1"/>
  <c r="EV6" i="27" s="1"/>
  <c r="EG19" i="27"/>
  <c r="EM19" i="27" s="1"/>
  <c r="EV12" i="27" s="1"/>
  <c r="EC19" i="27"/>
  <c r="EM11" i="27" s="1"/>
  <c r="EF19" i="27"/>
  <c r="EM17" i="27" s="1"/>
  <c r="EV11" i="27" s="1"/>
  <c r="EE19" i="27"/>
  <c r="EM15" i="27" s="1"/>
  <c r="EV10" i="27" s="1"/>
  <c r="EH19" i="27"/>
  <c r="EM21" i="27" s="1"/>
  <c r="DZ19" i="27"/>
  <c r="EM5" i="27" s="1"/>
  <c r="ED19" i="27"/>
  <c r="EM13" i="27" s="1"/>
  <c r="EC19" i="26"/>
  <c r="EM11" i="26" s="1"/>
  <c r="EV8" i="26" s="1"/>
  <c r="EB19" i="26"/>
  <c r="EM9" i="26" s="1"/>
  <c r="EV7" i="26" s="1"/>
  <c r="EA19" i="26"/>
  <c r="EM7" i="26" s="1"/>
  <c r="EE19" i="26"/>
  <c r="EM15" i="26" s="1"/>
  <c r="EV10" i="26" s="1"/>
  <c r="EH19" i="26"/>
  <c r="EM21" i="26" s="1"/>
  <c r="DZ19" i="26"/>
  <c r="EM5" i="26" s="1"/>
  <c r="EF19" i="26"/>
  <c r="EM17" i="26" s="1"/>
  <c r="ED19" i="26"/>
  <c r="EM13" i="26" s="1"/>
  <c r="EE19" i="25"/>
  <c r="EM15" i="25" s="1"/>
  <c r="EV10" i="25" s="1"/>
  <c r="EA19" i="25"/>
  <c r="EM7" i="25" s="1"/>
  <c r="EV6" i="25" s="1"/>
  <c r="EG19" i="25"/>
  <c r="EM19" i="25" s="1"/>
  <c r="EV12" i="25" s="1"/>
  <c r="EC19" i="25"/>
  <c r="EM11" i="25" s="1"/>
  <c r="EV8" i="25" s="1"/>
  <c r="EB19" i="25"/>
  <c r="EM9" i="25" s="1"/>
  <c r="EH19" i="25"/>
  <c r="EM21" i="25" s="1"/>
  <c r="DZ19" i="25"/>
  <c r="EM5" i="25" s="1"/>
  <c r="EF19" i="25"/>
  <c r="EM17" i="25" s="1"/>
  <c r="ED19" i="25"/>
  <c r="EM13" i="25" s="1"/>
  <c r="DN13" i="24"/>
  <c r="EH19" i="24"/>
  <c r="EM21" i="24" s="1"/>
  <c r="ED19" i="24"/>
  <c r="EM13" i="24" s="1"/>
  <c r="EV9" i="24" s="1"/>
  <c r="AT13" i="24"/>
  <c r="EA19" i="24"/>
  <c r="EM7" i="24" s="1"/>
  <c r="EV6" i="24" s="1"/>
  <c r="EB19" i="24"/>
  <c r="EM9" i="24" s="1"/>
  <c r="EG19" i="24"/>
  <c r="EM19" i="24" s="1"/>
  <c r="EC19" i="24"/>
  <c r="EM11" i="24" s="1"/>
  <c r="EV8" i="24" s="1"/>
  <c r="EF19" i="24"/>
  <c r="EM17" i="24" s="1"/>
  <c r="EE19" i="24"/>
  <c r="EM15" i="24" s="1"/>
  <c r="DZ19" i="24"/>
  <c r="EM5" i="24" s="1"/>
  <c r="DN11" i="22"/>
  <c r="DN15" i="22"/>
  <c r="CV11" i="22"/>
  <c r="CV13" i="22"/>
  <c r="CD11" i="22"/>
  <c r="CD15" i="22"/>
  <c r="EC19" i="22"/>
  <c r="EM11" i="22" s="1"/>
  <c r="EV8" i="22" s="1"/>
  <c r="BL11" i="22"/>
  <c r="AT11" i="22"/>
  <c r="AT15" i="22"/>
  <c r="AT9" i="22"/>
  <c r="ED19" i="22"/>
  <c r="EM13" i="22" s="1"/>
  <c r="EV9" i="22" s="1"/>
  <c r="EH19" i="22"/>
  <c r="EM21" i="22" s="1"/>
  <c r="EV13" i="22" s="1"/>
  <c r="EB19" i="22"/>
  <c r="EM9" i="22" s="1"/>
  <c r="EG19" i="22"/>
  <c r="EM19" i="22" s="1"/>
  <c r="EV12" i="22" s="1"/>
  <c r="AB13" i="22"/>
  <c r="EF19" i="22"/>
  <c r="EM17" i="22" s="1"/>
  <c r="EV11" i="22" s="1"/>
  <c r="EE19" i="22"/>
  <c r="EM15" i="22" s="1"/>
  <c r="EV10" i="22" s="1"/>
  <c r="AB11" i="22"/>
  <c r="DZ19" i="22"/>
  <c r="EM5" i="22" s="1"/>
  <c r="EA19" i="22"/>
  <c r="EM7" i="22" s="1"/>
  <c r="J15" i="22"/>
  <c r="J11" i="22"/>
  <c r="EE19" i="23"/>
  <c r="EM15" i="23" s="1"/>
  <c r="EV10" i="23" s="1"/>
  <c r="EA19" i="23"/>
  <c r="EM7" i="23" s="1"/>
  <c r="EB19" i="23"/>
  <c r="EM9" i="23" s="1"/>
  <c r="EV7" i="23" s="1"/>
  <c r="EG19" i="23"/>
  <c r="EM19" i="23" s="1"/>
  <c r="EC19" i="23"/>
  <c r="EM11" i="23" s="1"/>
  <c r="EF19" i="23"/>
  <c r="EM17" i="23" s="1"/>
  <c r="EV11" i="23" s="1"/>
  <c r="EH19" i="23"/>
  <c r="EM21" i="23" s="1"/>
  <c r="DZ19" i="23"/>
  <c r="EM5" i="23" s="1"/>
  <c r="ED19" i="23"/>
  <c r="EM13" i="23" s="1"/>
  <c r="AT13" i="28"/>
  <c r="DN13" i="28"/>
  <c r="BL15" i="28"/>
  <c r="AB11" i="28"/>
  <c r="BL11" i="28"/>
  <c r="CV11" i="28"/>
  <c r="J15" i="28"/>
  <c r="CD15" i="28"/>
  <c r="J13" i="28"/>
  <c r="CD13" i="28"/>
  <c r="AB15" i="28"/>
  <c r="CV15" i="28"/>
  <c r="AT9" i="28"/>
  <c r="AT11" i="28"/>
  <c r="DN11" i="28"/>
  <c r="BL15" i="27"/>
  <c r="AB11" i="27"/>
  <c r="BL11" i="27"/>
  <c r="CV11" i="27"/>
  <c r="J15" i="27"/>
  <c r="CD15" i="27"/>
  <c r="J13" i="27"/>
  <c r="CD13" i="27"/>
  <c r="AB15" i="27"/>
  <c r="CV15" i="27"/>
  <c r="AT9" i="27"/>
  <c r="AT11" i="27"/>
  <c r="DN11" i="27"/>
  <c r="AT13" i="26"/>
  <c r="DN13" i="26"/>
  <c r="BL15" i="26"/>
  <c r="AB11" i="26"/>
  <c r="BL11" i="26"/>
  <c r="CV11" i="26"/>
  <c r="J15" i="26"/>
  <c r="CD15" i="26"/>
  <c r="J13" i="26"/>
  <c r="CD13" i="26"/>
  <c r="AB15" i="26"/>
  <c r="CV15" i="26"/>
  <c r="AT9" i="26"/>
  <c r="AT11" i="26"/>
  <c r="DN11" i="26"/>
  <c r="AT13" i="25"/>
  <c r="DN13" i="25"/>
  <c r="BL15" i="25"/>
  <c r="AB11" i="25"/>
  <c r="BL11" i="25"/>
  <c r="CV11" i="25"/>
  <c r="J15" i="25"/>
  <c r="CD15" i="25"/>
  <c r="J13" i="25"/>
  <c r="CD13" i="25"/>
  <c r="AB15" i="25"/>
  <c r="CV15" i="25"/>
  <c r="AT9" i="25"/>
  <c r="AT11" i="25"/>
  <c r="DN11" i="25"/>
  <c r="BL15" i="24"/>
  <c r="AB11" i="24"/>
  <c r="BL11" i="24"/>
  <c r="CV11" i="24"/>
  <c r="J15" i="24"/>
  <c r="CD15" i="24"/>
  <c r="J13" i="24"/>
  <c r="CD13" i="24"/>
  <c r="AB15" i="24"/>
  <c r="CV15" i="24"/>
  <c r="AT9" i="24"/>
  <c r="AT11" i="24"/>
  <c r="DN11" i="24"/>
  <c r="AT13" i="23"/>
  <c r="DN13" i="23"/>
  <c r="BL15" i="23"/>
  <c r="AB11" i="23"/>
  <c r="BL11" i="23"/>
  <c r="CV11" i="23"/>
  <c r="J15" i="23"/>
  <c r="CD15" i="23"/>
  <c r="J13" i="23"/>
  <c r="CD13" i="23"/>
  <c r="AB15" i="23"/>
  <c r="CV15" i="23"/>
  <c r="AT9" i="23"/>
  <c r="AT11" i="23"/>
  <c r="DN11" i="23"/>
  <c r="X1" i="10"/>
  <c r="L15" i="10" l="1"/>
  <c r="X11" i="10"/>
  <c r="X19" i="10"/>
  <c r="X15" i="10"/>
  <c r="X9" i="10"/>
  <c r="X7" i="10"/>
  <c r="X21" i="10"/>
  <c r="EI19" i="28"/>
  <c r="EV5" i="28"/>
  <c r="X5" i="10"/>
  <c r="EV11" i="28"/>
  <c r="X17" i="10"/>
  <c r="EV9" i="28"/>
  <c r="F8" i="12"/>
  <c r="X13" i="10"/>
  <c r="R9" i="10"/>
  <c r="O19" i="10"/>
  <c r="R7" i="10"/>
  <c r="R17" i="10"/>
  <c r="R19" i="10"/>
  <c r="EV8" i="27"/>
  <c r="R11" i="10"/>
  <c r="R15" i="10"/>
  <c r="EV13" i="27"/>
  <c r="R21" i="10"/>
  <c r="EV5" i="27"/>
  <c r="R5" i="10"/>
  <c r="EI19" i="27"/>
  <c r="EV9" i="27"/>
  <c r="R13" i="10"/>
  <c r="F6" i="12"/>
  <c r="O11" i="10"/>
  <c r="O9" i="10"/>
  <c r="EV6" i="26"/>
  <c r="O7" i="10"/>
  <c r="O15" i="10"/>
  <c r="EV13" i="26"/>
  <c r="O21" i="10"/>
  <c r="EV5" i="26"/>
  <c r="O5" i="10"/>
  <c r="EV11" i="26"/>
  <c r="O17" i="10"/>
  <c r="EV9" i="26"/>
  <c r="F5" i="12"/>
  <c r="O13" i="10"/>
  <c r="EI19" i="26"/>
  <c r="L19" i="10"/>
  <c r="L7" i="10"/>
  <c r="L11" i="10"/>
  <c r="EV7" i="25"/>
  <c r="L9" i="10"/>
  <c r="EV13" i="25"/>
  <c r="L21" i="10"/>
  <c r="EV5" i="25"/>
  <c r="L5" i="10"/>
  <c r="EI19" i="25"/>
  <c r="EV11" i="25"/>
  <c r="L17" i="10"/>
  <c r="EV9" i="25"/>
  <c r="L13" i="10"/>
  <c r="F4" i="12"/>
  <c r="I13" i="10"/>
  <c r="EV13" i="24"/>
  <c r="I21" i="10"/>
  <c r="I11" i="10"/>
  <c r="I7" i="10"/>
  <c r="EV7" i="24"/>
  <c r="I9" i="10"/>
  <c r="EV12" i="24"/>
  <c r="I19" i="10"/>
  <c r="EV11" i="24"/>
  <c r="I17" i="10"/>
  <c r="EI19" i="24"/>
  <c r="EV10" i="24"/>
  <c r="I15" i="10"/>
  <c r="EV5" i="24"/>
  <c r="I5" i="10"/>
  <c r="F3" i="12"/>
  <c r="F15" i="10"/>
  <c r="F11" i="10"/>
  <c r="F13" i="10"/>
  <c r="F21" i="10"/>
  <c r="EV7" i="22"/>
  <c r="F9" i="10"/>
  <c r="F19" i="10"/>
  <c r="F17" i="10"/>
  <c r="EI19" i="22"/>
  <c r="EV6" i="22"/>
  <c r="F7" i="10"/>
  <c r="F2" i="12"/>
  <c r="EV5" i="22"/>
  <c r="F5" i="10"/>
  <c r="C17" i="10"/>
  <c r="C15" i="10"/>
  <c r="EV6" i="23"/>
  <c r="C7" i="10"/>
  <c r="C9" i="10"/>
  <c r="EV12" i="23"/>
  <c r="C19" i="10"/>
  <c r="EV8" i="23"/>
  <c r="C11" i="10"/>
  <c r="EV13" i="23"/>
  <c r="C21" i="10"/>
  <c r="EV5" i="23"/>
  <c r="C5" i="10"/>
  <c r="EI19" i="23"/>
  <c r="EV9" i="23"/>
  <c r="F1" i="12"/>
  <c r="C13" i="10"/>
  <c r="DX3" i="18"/>
  <c r="EV4" i="18" l="1"/>
  <c r="EU13" i="18"/>
  <c r="EU12" i="18"/>
  <c r="EU11" i="18"/>
  <c r="EU10" i="18"/>
  <c r="EU9" i="18"/>
  <c r="EU8" i="18"/>
  <c r="EU7" i="18"/>
  <c r="EU6" i="18"/>
  <c r="EU5" i="18"/>
  <c r="EH17" i="18" l="1"/>
  <c r="EG17" i="18"/>
  <c r="EF17" i="18"/>
  <c r="EE17" i="18"/>
  <c r="ED17" i="18"/>
  <c r="EC17" i="18"/>
  <c r="EB17" i="18"/>
  <c r="EA17" i="18"/>
  <c r="DZ17" i="18"/>
  <c r="EH15" i="18"/>
  <c r="EG15" i="18"/>
  <c r="EF15" i="18"/>
  <c r="EE15" i="18"/>
  <c r="ED15" i="18"/>
  <c r="EC15" i="18"/>
  <c r="EB15" i="18"/>
  <c r="EA15" i="18"/>
  <c r="DZ15" i="18"/>
  <c r="EH13" i="18"/>
  <c r="EG13" i="18"/>
  <c r="EF13" i="18"/>
  <c r="EE13" i="18"/>
  <c r="ED13" i="18"/>
  <c r="EC13" i="18"/>
  <c r="EB13" i="18"/>
  <c r="EA13" i="18"/>
  <c r="DZ13" i="18"/>
  <c r="EH11" i="18"/>
  <c r="EG11" i="18"/>
  <c r="EF11" i="18"/>
  <c r="EE11" i="18"/>
  <c r="ED11" i="18"/>
  <c r="EC11" i="18"/>
  <c r="EB11" i="18"/>
  <c r="EA11" i="18"/>
  <c r="DZ11" i="18"/>
  <c r="DM11" i="18"/>
  <c r="DN15" i="18" s="1"/>
  <c r="CU11" i="18"/>
  <c r="CV13" i="18" s="1"/>
  <c r="CC11" i="18"/>
  <c r="CD15" i="18" s="1"/>
  <c r="BK11" i="18"/>
  <c r="BL13" i="18" s="1"/>
  <c r="AS11" i="18"/>
  <c r="AT15" i="18" s="1"/>
  <c r="AA11" i="18"/>
  <c r="AB13" i="18" s="1"/>
  <c r="I11" i="18"/>
  <c r="J15" i="18" s="1"/>
  <c r="EH9" i="18"/>
  <c r="EG9" i="18"/>
  <c r="EF9" i="18"/>
  <c r="EE9" i="18"/>
  <c r="ED9" i="18"/>
  <c r="EC9" i="18"/>
  <c r="EB9" i="18"/>
  <c r="EA9" i="18"/>
  <c r="DZ9" i="18"/>
  <c r="EH7" i="18"/>
  <c r="EG7" i="18"/>
  <c r="EF7" i="18"/>
  <c r="EE7" i="18"/>
  <c r="ED7" i="18"/>
  <c r="EC7" i="18"/>
  <c r="EB7" i="18"/>
  <c r="EA7" i="18"/>
  <c r="DZ7" i="18"/>
  <c r="EH5" i="18"/>
  <c r="EG5" i="18"/>
  <c r="EF5" i="18"/>
  <c r="EE5" i="18"/>
  <c r="ED5" i="18"/>
  <c r="EC5" i="18"/>
  <c r="EB5" i="18"/>
  <c r="EA5" i="18"/>
  <c r="DZ5" i="18"/>
  <c r="ED19" i="18" l="1"/>
  <c r="EM13" i="18" s="1"/>
  <c r="U13" i="10" s="1"/>
  <c r="DZ19" i="18"/>
  <c r="EM5" i="18" s="1"/>
  <c r="EV5" i="18" s="1"/>
  <c r="EB19" i="18"/>
  <c r="EM9" i="18" s="1"/>
  <c r="U9" i="10" s="1"/>
  <c r="EF19" i="18"/>
  <c r="EM17" i="18" s="1"/>
  <c r="EV11" i="18" s="1"/>
  <c r="EH19" i="18"/>
  <c r="EM21" i="18" s="1"/>
  <c r="U21" i="10" s="1"/>
  <c r="EA19" i="18"/>
  <c r="EM7" i="18" s="1"/>
  <c r="EC19" i="18"/>
  <c r="EM11" i="18" s="1"/>
  <c r="EE19" i="18"/>
  <c r="EM15" i="18" s="1"/>
  <c r="EG19" i="18"/>
  <c r="EM19" i="18" s="1"/>
  <c r="J13" i="18"/>
  <c r="AT13" i="18"/>
  <c r="CD13" i="18"/>
  <c r="DN13" i="18"/>
  <c r="AB15" i="18"/>
  <c r="BL15" i="18"/>
  <c r="CV15" i="18"/>
  <c r="AT9" i="18"/>
  <c r="J11" i="18"/>
  <c r="AB11" i="18"/>
  <c r="AT11" i="18"/>
  <c r="BL11" i="18"/>
  <c r="CD11" i="18"/>
  <c r="CV11" i="18"/>
  <c r="DN11" i="18"/>
  <c r="W3" i="10"/>
  <c r="T3" i="10"/>
  <c r="Q3" i="10"/>
  <c r="N3" i="10"/>
  <c r="K3" i="10"/>
  <c r="H3" i="10"/>
  <c r="E3" i="10"/>
  <c r="B3" i="10"/>
  <c r="U17" i="10" l="1"/>
  <c r="H8" i="11" s="1"/>
  <c r="EV9" i="18"/>
  <c r="EV7" i="18"/>
  <c r="EV13" i="18"/>
  <c r="U11" i="10"/>
  <c r="EV8" i="18"/>
  <c r="U15" i="10"/>
  <c r="H7" i="11" s="1"/>
  <c r="EV10" i="18"/>
  <c r="U7" i="10"/>
  <c r="H3" i="11" s="1"/>
  <c r="EV6" i="18"/>
  <c r="U19" i="10"/>
  <c r="H9" i="11" s="1"/>
  <c r="EV12" i="18"/>
  <c r="EI19" i="18"/>
  <c r="F7" i="12"/>
  <c r="U5" i="10"/>
  <c r="H2" i="11" s="1"/>
  <c r="C1" i="11"/>
  <c r="D1" i="11"/>
  <c r="E1" i="11"/>
  <c r="F1" i="11"/>
  <c r="G1" i="11"/>
  <c r="H1" i="11"/>
  <c r="I1" i="11"/>
  <c r="A3" i="11"/>
  <c r="A4" i="11"/>
  <c r="A5" i="11"/>
  <c r="A6" i="11"/>
  <c r="A7" i="11"/>
  <c r="A8" i="11"/>
  <c r="A9" i="11"/>
  <c r="A10" i="11"/>
  <c r="A2" i="11"/>
  <c r="B1" i="11"/>
  <c r="D3" i="11"/>
  <c r="E3" i="11"/>
  <c r="F3" i="11"/>
  <c r="G3" i="11"/>
  <c r="I3" i="11"/>
  <c r="D4" i="11"/>
  <c r="E4" i="11"/>
  <c r="F4" i="11"/>
  <c r="G4" i="11"/>
  <c r="H4" i="11"/>
  <c r="I4" i="11"/>
  <c r="D5" i="11"/>
  <c r="E5" i="11"/>
  <c r="F5" i="11"/>
  <c r="G5" i="11"/>
  <c r="H5" i="11"/>
  <c r="I5" i="11"/>
  <c r="D6" i="11"/>
  <c r="E6" i="11"/>
  <c r="F6" i="11"/>
  <c r="G6" i="11"/>
  <c r="H6" i="11"/>
  <c r="I6" i="11"/>
  <c r="D7" i="11"/>
  <c r="E7" i="11"/>
  <c r="F7" i="11"/>
  <c r="G7" i="11"/>
  <c r="I7" i="11"/>
  <c r="D8" i="11"/>
  <c r="E8" i="11"/>
  <c r="F8" i="11"/>
  <c r="G8" i="11"/>
  <c r="I8" i="11"/>
  <c r="D9" i="11"/>
  <c r="E9" i="11"/>
  <c r="F9" i="11"/>
  <c r="G9" i="11"/>
  <c r="I9" i="11"/>
  <c r="D10" i="11"/>
  <c r="E10" i="11"/>
  <c r="F10" i="11"/>
  <c r="G10" i="11"/>
  <c r="H10" i="11"/>
  <c r="I10" i="11"/>
  <c r="E2" i="11"/>
  <c r="F2" i="11"/>
  <c r="G2" i="11"/>
  <c r="I2" i="11"/>
  <c r="D2" i="11"/>
  <c r="C3" i="11"/>
  <c r="C4" i="11"/>
  <c r="C5" i="11"/>
  <c r="C6" i="11"/>
  <c r="C7" i="11"/>
  <c r="C8" i="11"/>
  <c r="C9" i="11"/>
  <c r="C10" i="11"/>
  <c r="C2" i="11"/>
  <c r="B10" i="11"/>
  <c r="B8" i="11"/>
  <c r="B4" i="11"/>
  <c r="B2" i="11"/>
  <c r="B6" i="11" l="1"/>
  <c r="B5" i="11"/>
  <c r="B7" i="11"/>
  <c r="B9" i="11"/>
  <c r="B3" i="11"/>
</calcChain>
</file>

<file path=xl/sharedStrings.xml><?xml version="1.0" encoding="utf-8"?>
<sst xmlns="http://schemas.openxmlformats.org/spreadsheetml/2006/main" count="1036" uniqueCount="162">
  <si>
    <t>What I Believe I Can Contribute to a Team:</t>
  </si>
  <si>
    <t>I think I can quickly see and take advantage of opportunities.</t>
  </si>
  <si>
    <t>You have ten (10) points to distribute amongst the statements on the left, depending on how much you agree with each of them. Statements you disagree with or are indifferent to will be awarded zero points. You may not give negative points to any statement, nor are you allowed to award fewer than ten points in total. You may distribute points as you wish.</t>
  </si>
  <si>
    <t>I can work well with a very wide range of people.</t>
  </si>
  <si>
    <t>I can usually sense what is realistic and likely to work.</t>
  </si>
  <si>
    <t>My capacity to follow through has much to do with my personal effectiveness.</t>
  </si>
  <si>
    <t>Points Remaining:</t>
  </si>
  <si>
    <t>My ability rests in being able to draw people out whenever I detect they have something of value to contribute to group activities.</t>
  </si>
  <si>
    <t>My technical knowledge and experience is usually my major asset.</t>
  </si>
  <si>
    <t>I can offer a reasoned case for alternative courses of action without introducing bias or prejudice.</t>
  </si>
  <si>
    <t>Producing ideas is one of my natural assets.</t>
  </si>
  <si>
    <t>I am ready to face temporary unpopularity if it leads to worthwhile results in the end.</t>
  </si>
  <si>
    <t>If I Have a Possible Shortcoming in Teamwork, It Could Be That:</t>
  </si>
  <si>
    <t>I am not at ease unless meetings are well structured and controlled and generally well conducted.</t>
  </si>
  <si>
    <t>My objective outlook makes it difficult for me to join in readily and enthusiastically with colleagues.</t>
  </si>
  <si>
    <t>I find it difficult to lead from the front, perhaps because I am over-responsive to group atmosphere.</t>
  </si>
  <si>
    <t>I am apt to get too caught up in ideas that occur to me and so lose track of what is happening.</t>
  </si>
  <si>
    <t>My colleagues tend to see me as worrying unnecessarily over detail and the possibility that things may go wrong.</t>
  </si>
  <si>
    <t>I am sometimes seen as forceful and authoritarian if there is a need to get something done.</t>
  </si>
  <si>
    <t>I am inclined to be generous towards others who have a valid viewpoint that has not been given a proper airing.</t>
  </si>
  <si>
    <t>I am reluctant to contribute unless the subject being discussed deals with an area I know well.</t>
  </si>
  <si>
    <t>I have a tendency to talk too much once the group gets on to new ideas.</t>
  </si>
  <si>
    <t>When Involved in a Project with Other People:</t>
  </si>
  <si>
    <t>I can be counted on to contribute something original.</t>
  </si>
  <si>
    <t>My general vigilance prevents careless mistakes and omissions being made.</t>
  </si>
  <si>
    <t>I have an aptitude for influencing people without pressurizing them.</t>
  </si>
  <si>
    <t>I am keen to look for the latest in new ideas and developments.</t>
  </si>
  <si>
    <t>I try to maintain my sense of professionalism.</t>
  </si>
  <si>
    <t>I believe that my capacity for judgements can help to bring about the right decisions.</t>
  </si>
  <si>
    <t>I am always ready to back a good suggestion in the common interest.</t>
  </si>
  <si>
    <t>I am ready to press for action to make sure the meeting does not waste time or lose sight of the main objective.</t>
  </si>
  <si>
    <t>I can be relied upon to see that all essential work is organized.</t>
  </si>
  <si>
    <t>My Characteristic Approach to Group Work is That:</t>
  </si>
  <si>
    <t>I have a quiet interest in getting to know colleagues better.</t>
  </si>
  <si>
    <t>While I am interested in all views, I have no hesitation in making up my mind once a decision has to be made.</t>
  </si>
  <si>
    <t>I am not reluctant to challenge the views of others or to hold a minority view myself.</t>
  </si>
  <si>
    <t>I think I have a talent for making things work once a plan has to be put into operation.</t>
  </si>
  <si>
    <t>I have a tendency to avoid the obvious and come out with the unexpected.</t>
  </si>
  <si>
    <t>I am ready to make use of contacts outside of the group itself.</t>
  </si>
  <si>
    <t>I bring a touch of perfectionism to any job I undertake.</t>
  </si>
  <si>
    <t>I can usually find a line of argument to refute unsound propositions.</t>
  </si>
  <si>
    <t>I contribute when I know what I'm talking about.</t>
  </si>
  <si>
    <t>I Gain Satisfaction In a Job Because:</t>
  </si>
  <si>
    <t>I enjoy analyzing situations and weighing up all the possible choices.</t>
  </si>
  <si>
    <t>I feel that I am using my special qualifications and training to advantage.</t>
  </si>
  <si>
    <t>I like to find a field that stretches my imagination.</t>
  </si>
  <si>
    <t>I feel in my element when I can give a task my full attention.</t>
  </si>
  <si>
    <t>I am interested in finding practical solutions to problems.</t>
  </si>
  <si>
    <t>I like to feel I am fostering good working relationships.</t>
  </si>
  <si>
    <t>I can meet people who may have something new to offer.</t>
  </si>
  <si>
    <t>I can get people to agree on a necessary course of action.</t>
  </si>
  <si>
    <t>I can have a strong influence on decisions.</t>
  </si>
  <si>
    <t>If I Am Suddenly Given a Difficult Task with Limited Time and Unfamiliar People:</t>
  </si>
  <si>
    <t>I tend to read up as much as I conveniently can on the subject.</t>
  </si>
  <si>
    <t>I would retain a steadiness of purpose in spite of the pressures.</t>
  </si>
  <si>
    <t>I would open up discussions with a view to stimulating new thoughts and getting something moving.</t>
  </si>
  <si>
    <t>I believe that I would keep cool and maintain my capacity to think straight.</t>
  </si>
  <si>
    <t>I would find some way of reducing the size of the task by establishing what different individuals might best contribute.</t>
  </si>
  <si>
    <t>I would feel like retiring to a corner to devise a way out of the impasse before developing a line.</t>
  </si>
  <si>
    <t>I would be prepared to take a positive lead if I felt the group was making no progress.</t>
  </si>
  <si>
    <t>My natural sense of urgency would help ensure that we did not fall behind schedule.</t>
  </si>
  <si>
    <t>I would be ready to work with the person who showed the most positive approach.</t>
  </si>
  <si>
    <t>With Reference to the Problems to Which I Am Subject in Working in Groups:</t>
  </si>
  <si>
    <t>I am apt to show my impatience with those who are obstructing progress.</t>
  </si>
  <si>
    <t>I hesitate to get my points across when I run up against real opposition.</t>
  </si>
  <si>
    <t>I am inclined to feel I am wasting my time and would do better on my own.</t>
  </si>
  <si>
    <t>I am conscious of demanding from others the things I cannot do myself.</t>
  </si>
  <si>
    <t>I am tend to get bored rather easily and rely on one or two stimulating members to spark me off.</t>
  </si>
  <si>
    <t>My desire to ensure that work is properly done can hold up proceedings.</t>
  </si>
  <si>
    <t>Others may criticise me for being too analytical and insufficiently intuitive.</t>
  </si>
  <si>
    <t>I find it difficult to get started unless the goals are clear.</t>
  </si>
  <si>
    <t>I am sometimes poor at explaining and clarifying complex points that occur to me.</t>
  </si>
  <si>
    <t>Section</t>
  </si>
  <si>
    <t>Total</t>
  </si>
  <si>
    <t>I</t>
  </si>
  <si>
    <t>II</t>
  </si>
  <si>
    <t>III</t>
  </si>
  <si>
    <t>IV</t>
  </si>
  <si>
    <t>V</t>
  </si>
  <si>
    <t>VI</t>
  </si>
  <si>
    <t>VII</t>
  </si>
  <si>
    <t>Roles</t>
  </si>
  <si>
    <t>Implementor</t>
  </si>
  <si>
    <t>Coordinator</t>
  </si>
  <si>
    <t>Shaper</t>
  </si>
  <si>
    <t>Plant</t>
  </si>
  <si>
    <t>Resource Investigator</t>
  </si>
  <si>
    <t>Monitor Evaluator</t>
  </si>
  <si>
    <t>Team Worker</t>
  </si>
  <si>
    <t>Complete Finisher</t>
  </si>
  <si>
    <t>Specialist</t>
  </si>
  <si>
    <t>Role</t>
  </si>
  <si>
    <t>Group member</t>
  </si>
  <si>
    <t>Project number</t>
  </si>
  <si>
    <t>Group members</t>
  </si>
  <si>
    <t xml:space="preserve">Team Role </t>
  </si>
  <si>
    <t>Description</t>
  </si>
  <si>
    <t xml:space="preserve">Team Role Contribution </t>
  </si>
  <si>
    <t>Chariteristics</t>
  </si>
  <si>
    <t>Allowable Weaknesses</t>
  </si>
  <si>
    <t xml:space="preserve">Plant </t>
  </si>
  <si>
    <t>As a team role, specifies advancing new ideas and strategies with special attention to major issues; and looking for possible breaks in approach to the problems with which the team is confined.</t>
  </si>
  <si>
    <t xml:space="preserve">Creative, imaginative, free-thinking.Generates ideas and solves difficult problems. </t>
  </si>
  <si>
    <t>- intelligent, 
- generator of ideas, 
- radical thinker, 
- may not like being criticised.</t>
  </si>
  <si>
    <t xml:space="preserve">May ignore incidentals. </t>
  </si>
  <si>
    <t xml:space="preserve">Can be too preoccupied with own thoughts to communicate effectively. </t>
  </si>
  <si>
    <t>As a team role, specifies exploring and reporting on ideas, developments and resources outside the team. Creating external contacts that may be useful to the team and conducting any subsequent negotiations.</t>
  </si>
  <si>
    <r>
      <t xml:space="preserve">Outgoing, enthusiastic, communicative. Explores </t>
    </r>
    <r>
      <rPr>
        <sz val="11"/>
        <color theme="1"/>
        <rFont val="Calibri"/>
        <family val="2"/>
        <scheme val="minor"/>
      </rPr>
      <t>opportunities and develops contacts.</t>
    </r>
  </si>
  <si>
    <t>- relaxed likeable person, 
- lots of contacts, 
- a diplomat in touch with the world outside the organisation.</t>
  </si>
  <si>
    <t>Over-optimistic.</t>
  </si>
  <si>
    <t xml:space="preserve">Can lose interest once initial enthusiasm has passed. </t>
  </si>
  <si>
    <t>Co-ordinator</t>
  </si>
  <si>
    <t>As a team role this specifies controlling the way in which a team moves towards the team objectives by making the best use of team resources recognising where the team’s strengths and weaknesses are: ensuring that the best use is made of each team members’ potential.</t>
  </si>
  <si>
    <t>Mature and confident.</t>
  </si>
  <si>
    <t>- clarifies team’s role objectives and agenda, 
- social leader, 
- dominant but not aggressive,
- extrovert.</t>
  </si>
  <si>
    <t>Can be seen as manipulative.</t>
  </si>
  <si>
    <t>Identifies talent and clarifies goals.</t>
  </si>
  <si>
    <t>May offload own share of the work.</t>
  </si>
  <si>
    <t>Delegates effectively.</t>
  </si>
  <si>
    <t>As a team role specifies shaping in the way in which team effort is applied; directing attention to things such as the setting of objectives and priorities; and seeking to improve some shape or pattern on a group discussion and on the outcome of group activities.</t>
  </si>
  <si>
    <t xml:space="preserve">Challenging, dynamic, thrives on pressure. Has the drive and energy to overcome obstacles. </t>
  </si>
  <si>
    <t>- anxious, 
- dominant, 
- extravert, 
- task leader who shapes the team’s efforts, 
- impulsive and impatient, 
- quick to challenge, 
- quick to respond to challenges.</t>
  </si>
  <si>
    <t>Prone to provocation.</t>
  </si>
  <si>
    <t xml:space="preserve">Can offend people's feelings. </t>
  </si>
  <si>
    <t>As a team role, specifies analysing problems; and evaluating ideas so that the team is better placed to take balanced decisions.</t>
  </si>
  <si>
    <t>Serious minded, strategic and discerning. Sees all options and judges accurately.</t>
  </si>
  <si>
    <t>- serious, 
- can be overly negative, 
- dispassionate, 
- stable introvert in a balanced team.</t>
  </si>
  <si>
    <t>Can lack drive and ability to inspire others.</t>
  </si>
  <si>
    <t>Can be overly critical.</t>
  </si>
  <si>
    <t>Teamworker</t>
  </si>
  <si>
    <t>As a team role, specifies supporting members in their strengths (such as for building on a suggestion), underpinning members in their shortcomings, improving communications between members and fostering team spirit generally.</t>
  </si>
  <si>
    <t>Co-operative, perceptive and diplomatic. Listens, builds morale and averts friction.</t>
  </si>
  <si>
    <t>- cement of the team, 
- likeable and popular, 
- good listener and communicates freely, 
- encourages others, 
- does not like confrontation.</t>
  </si>
  <si>
    <t>Can be indecisive in crunch situations.</t>
  </si>
  <si>
    <t>May avoid confrontation.</t>
  </si>
  <si>
    <t>Implementer</t>
  </si>
  <si>
    <t>As a team role, specifies turning concepts and plans into practical working procedures; and carrying out agreed plans systematically and efficiently.</t>
  </si>
  <si>
    <t>Disciplined, reliable, conservative in habits. A capacity for taking practical steps and actions.</t>
  </si>
  <si>
    <t>- practical organiser, 
- turns ideas into tasks, 
- not easily discouraged, 
- needs stable structures.</t>
  </si>
  <si>
    <t>Somewhat inflexible.</t>
  </si>
  <si>
    <t>Can be slow to respond to new possibilities.</t>
  </si>
  <si>
    <t>Completer Finisher</t>
  </si>
  <si>
    <t>As a team role, specifies ensuring that the team is protected as far as possible from mistakes and both commission and omission; actively searching for aspects of work which need a more than usual degree of attention; and maintaining a sense of urgency within the team.</t>
  </si>
  <si>
    <t>Conscientious and accurate. Searches out errors.</t>
  </si>
  <si>
    <t>- anxious, 
- introvert, 
- intolerant, 
- only likely to relax when all details have been checked.</t>
  </si>
  <si>
    <t>Inclined to worry unduly.</t>
  </si>
  <si>
    <t>Polishes and perfects.</t>
  </si>
  <si>
    <t>Reluctant to delegate.</t>
  </si>
  <si>
    <t>As a team role, the specifics, the provision of specific knowledge and of skills which other team members do not possess.</t>
  </si>
  <si>
    <t>Single-minded, self-starting, dedicated. Provides in-depth knowledge and skills in short supply.</t>
  </si>
  <si>
    <t>- high degree of expertise in their own field, 
- narrowly focused on own area of skills and knowledge, 
- less interested in broader issues or ‘the big picture’, 
- can be a bit of a law unto themselves.</t>
  </si>
  <si>
    <t>May contribute only on a narrow front.</t>
  </si>
  <si>
    <t>Dwells on technicalities.</t>
  </si>
  <si>
    <t>Outgoing, enthusiastic, communicative. Explores opportunities and develops contacts.</t>
  </si>
  <si>
    <r>
      <rPr>
        <b/>
        <sz val="10"/>
        <color theme="3"/>
        <rFont val="Arial"/>
        <family val="2"/>
      </rPr>
      <t xml:space="preserve">Section
</t>
    </r>
    <r>
      <rPr>
        <b/>
        <sz val="14"/>
        <color theme="3"/>
        <rFont val="Arial"/>
        <family val="2"/>
      </rPr>
      <t>I</t>
    </r>
  </si>
  <si>
    <r>
      <rPr>
        <b/>
        <sz val="10"/>
        <color theme="3"/>
        <rFont val="Arial"/>
        <family val="2"/>
      </rPr>
      <t xml:space="preserve">Section
</t>
    </r>
    <r>
      <rPr>
        <b/>
        <sz val="14"/>
        <color theme="3"/>
        <rFont val="Arial"/>
        <family val="2"/>
      </rPr>
      <t>II</t>
    </r>
  </si>
  <si>
    <r>
      <rPr>
        <b/>
        <sz val="10"/>
        <color theme="3"/>
        <rFont val="Arial"/>
        <family val="2"/>
      </rPr>
      <t xml:space="preserve">Section
</t>
    </r>
    <r>
      <rPr>
        <b/>
        <sz val="14"/>
        <color theme="3"/>
        <rFont val="Arial"/>
        <family val="2"/>
      </rPr>
      <t>III</t>
    </r>
  </si>
  <si>
    <r>
      <rPr>
        <b/>
        <sz val="10"/>
        <color theme="3"/>
        <rFont val="Arial"/>
        <family val="2"/>
      </rPr>
      <t xml:space="preserve">Section
</t>
    </r>
    <r>
      <rPr>
        <b/>
        <sz val="14"/>
        <color theme="3"/>
        <rFont val="Arial"/>
        <family val="2"/>
      </rPr>
      <t>IV</t>
    </r>
  </si>
  <si>
    <r>
      <rPr>
        <b/>
        <sz val="10"/>
        <color theme="3"/>
        <rFont val="Arial"/>
        <family val="2"/>
      </rPr>
      <t xml:space="preserve">Section
</t>
    </r>
    <r>
      <rPr>
        <b/>
        <sz val="14"/>
        <color theme="3"/>
        <rFont val="Arial"/>
        <family val="2"/>
      </rPr>
      <t>V</t>
    </r>
  </si>
  <si>
    <r>
      <rPr>
        <b/>
        <sz val="10"/>
        <color theme="3"/>
        <rFont val="Arial"/>
        <family val="2"/>
      </rPr>
      <t xml:space="preserve">Section
</t>
    </r>
    <r>
      <rPr>
        <b/>
        <sz val="14"/>
        <color theme="3"/>
        <rFont val="Arial"/>
        <family val="2"/>
      </rPr>
      <t>VI</t>
    </r>
  </si>
  <si>
    <r>
      <rPr>
        <b/>
        <sz val="10"/>
        <color theme="3"/>
        <rFont val="Arial"/>
        <family val="2"/>
      </rPr>
      <t xml:space="preserve">Section
</t>
    </r>
    <r>
      <rPr>
        <b/>
        <sz val="14"/>
        <color theme="3"/>
        <rFont val="Arial"/>
        <family val="2"/>
      </rPr>
      <t>VII</t>
    </r>
  </si>
  <si>
    <t>Mārtiņš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</si>
</sst>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name val="Arial"/>
      <family val="2"/>
    </font>
    <font>
      <u/>
      <sz val="10"/>
      <color indexed="12"/>
      <name val="Arial"/>
      <family val="2"/>
    </font>
    <font>
      <sz val="10"/>
      <color theme="3"/>
      <name val="Arial"/>
      <family val="2"/>
    </font>
    <font>
      <b/>
      <sz val="14"/>
      <color theme="3"/>
      <name val="Arial"/>
      <family val="2"/>
    </font>
    <font>
      <sz val="11"/>
      <color theme="3"/>
      <name val="Calibri"/>
      <family val="2"/>
      <scheme val="minor"/>
    </font>
    <font>
      <b/>
      <sz val="10"/>
      <color theme="3"/>
      <name val="Arial"/>
      <family val="2"/>
    </font>
    <font>
      <u/>
      <sz val="10"/>
      <color theme="3"/>
      <name val="Arial"/>
      <family val="2"/>
    </font>
    <font>
      <sz val="10"/>
      <color theme="0" tint="-0.249977111117893"/>
      <name val="Arial"/>
      <family val="2"/>
    </font>
    <font>
      <b/>
      <sz val="10"/>
      <color rgb="FFFF0000"/>
      <name val="Arial"/>
      <family val="2"/>
    </font>
    <font>
      <b/>
      <sz val="8"/>
      <color theme="3"/>
      <name val="Calibri"/>
      <family val="2"/>
      <scheme val="minor"/>
    </font>
    <font>
      <b/>
      <sz val="11"/>
      <color theme="3"/>
      <name val="Arial"/>
      <family val="2"/>
    </font>
    <font>
      <b/>
      <sz val="11"/>
      <color theme="0"/>
      <name val="Calibri"/>
      <family val="2"/>
      <scheme val="minor"/>
    </font>
    <font>
      <sz val="11"/>
      <color theme="0"/>
      <name val="Calibri"/>
      <family val="2"/>
      <scheme val="minor"/>
    </font>
    <font>
      <sz val="10"/>
      <color rgb="FFFF0000"/>
      <name val="Arial"/>
      <family val="2"/>
    </font>
    <font>
      <b/>
      <sz val="12"/>
      <color theme="3"/>
      <name val="Arial"/>
      <family val="2"/>
    </font>
    <font>
      <b/>
      <sz val="14"/>
      <color theme="3"/>
      <name val="Calibri"/>
      <family val="2"/>
      <scheme val="minor"/>
    </font>
    <font>
      <sz val="11"/>
      <color theme="3" tint="-0.499984740745262"/>
      <name val="Calibri"/>
      <family val="2"/>
      <scheme val="minor"/>
    </font>
    <font>
      <b/>
      <sz val="11"/>
      <color theme="3" tint="-0.499984740745262"/>
      <name val="Calibri"/>
      <family val="2"/>
      <scheme val="minor"/>
    </font>
    <font>
      <b/>
      <sz val="14"/>
      <color theme="0"/>
      <name val="Calibri"/>
      <family val="2"/>
      <scheme val="minor"/>
    </font>
    <font>
      <sz val="10"/>
      <color theme="3"/>
      <name val="Calibri"/>
      <family val="2"/>
      <scheme val="minor"/>
    </font>
    <font>
      <b/>
      <sz val="11"/>
      <color theme="3"/>
      <name val="Calibri"/>
      <family val="2"/>
      <scheme val="minor"/>
    </font>
    <font>
      <b/>
      <sz val="11"/>
      <color theme="1"/>
      <name val="Calibri"/>
      <family val="2"/>
      <scheme val="minor"/>
    </font>
    <font>
      <sz val="11"/>
      <color theme="3"/>
      <name val="Arial"/>
      <family val="2"/>
    </font>
    <font>
      <b/>
      <sz val="12"/>
      <color theme="3"/>
      <name val="Calibri"/>
      <family val="2"/>
      <scheme val="minor"/>
    </font>
    <font>
      <sz val="12"/>
      <color theme="3"/>
      <name val="Calibri"/>
      <family val="2"/>
      <scheme val="minor"/>
    </font>
    <font>
      <b/>
      <sz val="11"/>
      <color theme="0"/>
      <name val="Arial"/>
      <family val="2"/>
    </font>
    <font>
      <b/>
      <sz val="9"/>
      <color theme="3"/>
      <name val="Arial"/>
      <family val="2"/>
    </font>
    <font>
      <b/>
      <sz val="10"/>
      <color theme="3"/>
      <name val="Calibri"/>
      <family val="2"/>
      <scheme val="minor"/>
    </font>
    <font>
      <b/>
      <sz val="9"/>
      <color theme="3"/>
      <name val="Calibri"/>
      <family val="2"/>
      <scheme val="minor"/>
    </font>
    <font>
      <sz val="9"/>
      <color theme="3"/>
      <name val="Calibri"/>
      <family val="2"/>
      <scheme val="minor"/>
    </font>
    <font>
      <b/>
      <sz val="9"/>
      <color rgb="FFFF0000"/>
      <name val="Calibri"/>
      <family val="2"/>
      <scheme val="minor"/>
    </font>
    <font>
      <sz val="9"/>
      <color rgb="FFFF0000"/>
      <name val="Calibri"/>
      <family val="2"/>
      <scheme val="minor"/>
    </font>
    <font>
      <b/>
      <sz val="9"/>
      <color theme="0"/>
      <name val="Calibri"/>
      <family val="2"/>
      <scheme val="minor"/>
    </font>
    <font>
      <b/>
      <sz val="9"/>
      <color theme="3" tint="-0.499984740745262"/>
      <name val="Calibri"/>
      <family val="2"/>
      <scheme val="minor"/>
    </font>
  </fonts>
  <fills count="16">
    <fill>
      <patternFill patternType="none"/>
    </fill>
    <fill>
      <patternFill patternType="gray125"/>
    </fill>
    <fill>
      <patternFill patternType="solid">
        <fgColor theme="0" tint="-0.249977111117893"/>
        <bgColor indexed="63"/>
      </patternFill>
    </fill>
    <fill>
      <patternFill patternType="solid">
        <fgColor theme="0"/>
        <bgColor indexed="63"/>
      </patternFill>
    </fill>
    <fill>
      <patternFill patternType="solid">
        <fgColor theme="0" tint="-0.249977111117893"/>
        <bgColor indexed="64"/>
      </patternFill>
    </fill>
    <fill>
      <patternFill patternType="solid">
        <fgColor theme="3"/>
        <bgColor indexed="64"/>
      </patternFill>
    </fill>
    <fill>
      <patternFill patternType="solid">
        <fgColor rgb="FFFF0000"/>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theme="5" tint="-0.499984740745262"/>
        <bgColor indexed="64"/>
      </patternFill>
    </fill>
    <fill>
      <patternFill patternType="solid">
        <fgColor rgb="FFFFC000"/>
        <bgColor indexed="64"/>
      </patternFill>
    </fill>
    <fill>
      <patternFill patternType="solid">
        <fgColor theme="9"/>
        <bgColor indexed="64"/>
      </patternFill>
    </fill>
    <fill>
      <patternFill patternType="solid">
        <fgColor rgb="FF008000"/>
        <bgColor indexed="64"/>
      </patternFill>
    </fill>
    <fill>
      <patternFill patternType="solid">
        <fgColor theme="6"/>
        <bgColor indexed="64"/>
      </patternFill>
    </fill>
    <fill>
      <patternFill patternType="solid">
        <fgColor theme="4"/>
        <bgColor indexed="64"/>
      </patternFill>
    </fill>
    <fill>
      <patternFill patternType="solid">
        <fgColor theme="0"/>
        <bgColor indexed="64"/>
      </patternFill>
    </fill>
  </fills>
  <borders count="24">
    <border>
      <left/>
      <right/>
      <top/>
      <bottom/>
      <diagonal/>
    </border>
    <border>
      <left style="thick">
        <color indexed="22"/>
      </left>
      <right style="thick">
        <color indexed="22"/>
      </right>
      <top style="thick">
        <color indexed="22"/>
      </top>
      <bottom style="thick">
        <color indexed="22"/>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n">
        <color theme="3"/>
      </left>
      <right style="thin">
        <color theme="3"/>
      </right>
      <top style="thin">
        <color theme="3"/>
      </top>
      <bottom style="thin">
        <color theme="3"/>
      </bottom>
      <diagonal/>
    </border>
    <border>
      <left/>
      <right/>
      <top style="thin">
        <color theme="0"/>
      </top>
      <bottom style="thin">
        <color theme="3"/>
      </bottom>
      <diagonal/>
    </border>
    <border>
      <left style="thin">
        <color theme="3"/>
      </left>
      <right/>
      <top style="thin">
        <color theme="0"/>
      </top>
      <bottom style="thin">
        <color theme="3"/>
      </bottom>
      <diagonal/>
    </border>
    <border>
      <left/>
      <right/>
      <top style="thin">
        <color theme="0"/>
      </top>
      <bottom style="thin">
        <color theme="0"/>
      </bottom>
      <diagonal/>
    </border>
    <border>
      <left style="thin">
        <color theme="3"/>
      </left>
      <right/>
      <top style="thin">
        <color theme="0"/>
      </top>
      <bottom style="thin">
        <color theme="0"/>
      </bottom>
      <diagonal/>
    </border>
    <border>
      <left style="thin">
        <color theme="0"/>
      </left>
      <right style="thin">
        <color theme="0"/>
      </right>
      <top style="thin">
        <color theme="3"/>
      </top>
      <bottom style="thin">
        <color theme="3"/>
      </bottom>
      <diagonal/>
    </border>
    <border>
      <left/>
      <right style="thin">
        <color theme="0"/>
      </right>
      <top style="thin">
        <color theme="3"/>
      </top>
      <bottom style="thin">
        <color theme="3"/>
      </bottom>
      <diagonal/>
    </border>
    <border>
      <left/>
      <right/>
      <top style="thin">
        <color theme="3"/>
      </top>
      <bottom style="thin">
        <color theme="0"/>
      </bottom>
      <diagonal/>
    </border>
    <border>
      <left style="thin">
        <color theme="3"/>
      </left>
      <right/>
      <top style="thin">
        <color theme="3"/>
      </top>
      <bottom style="thin">
        <color theme="0"/>
      </bottom>
      <diagonal/>
    </border>
    <border>
      <left style="thin">
        <color theme="3"/>
      </left>
      <right style="thin">
        <color theme="3"/>
      </right>
      <top style="thin">
        <color theme="3"/>
      </top>
      <bottom/>
      <diagonal/>
    </border>
    <border>
      <left style="thin">
        <color theme="3"/>
      </left>
      <right style="thin">
        <color theme="3"/>
      </right>
      <top/>
      <bottom/>
      <diagonal/>
    </border>
    <border>
      <left style="thin">
        <color theme="3"/>
      </left>
      <right style="thin">
        <color theme="3"/>
      </right>
      <top/>
      <bottom style="thin">
        <color theme="3"/>
      </bottom>
      <diagonal/>
    </border>
    <border>
      <left style="thin">
        <color rgb="FF000000"/>
      </left>
      <right style="thin">
        <color rgb="FF000000"/>
      </right>
      <top style="thin">
        <color rgb="FF000000"/>
      </top>
      <bottom/>
      <diagonal/>
    </border>
    <border>
      <left style="thin">
        <color theme="0"/>
      </left>
      <right style="thin">
        <color theme="0"/>
      </right>
      <top style="thin">
        <color theme="0"/>
      </top>
      <bottom style="thin">
        <color theme="0"/>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bottom style="thin">
        <color theme="3"/>
      </bottom>
      <diagonal/>
    </border>
    <border>
      <left/>
      <right/>
      <top style="thin">
        <color theme="3"/>
      </top>
      <bottom/>
      <diagonal/>
    </border>
  </borders>
  <cellStyleXfs count="3">
    <xf numFmtId="0" fontId="0" fillId="0" borderId="0"/>
    <xf numFmtId="0" fontId="1" fillId="0" borderId="0"/>
    <xf numFmtId="0" fontId="2" fillId="0" borderId="0" applyNumberFormat="0" applyFill="0" applyBorder="0" applyAlignment="0" applyProtection="0">
      <alignment vertical="top"/>
      <protection locked="0"/>
    </xf>
  </cellStyleXfs>
  <cellXfs count="193">
    <xf numFmtId="0" fontId="0" fillId="0" borderId="0" xfId="0"/>
    <xf numFmtId="0" fontId="3" fillId="2" borderId="0" xfId="1" applyFont="1" applyFill="1" applyAlignment="1">
      <alignment wrapText="1"/>
    </xf>
    <xf numFmtId="0" fontId="4" fillId="2" borderId="0" xfId="1" applyFont="1" applyFill="1" applyAlignment="1">
      <alignment horizontal="center" vertical="center"/>
    </xf>
    <xf numFmtId="0" fontId="3" fillId="2" borderId="0" xfId="1" applyFont="1" applyFill="1"/>
    <xf numFmtId="0" fontId="5" fillId="2" borderId="0" xfId="0" applyFont="1" applyFill="1"/>
    <xf numFmtId="0" fontId="5" fillId="2" borderId="0" xfId="0" applyFont="1" applyFill="1" applyAlignment="1">
      <alignment wrapText="1"/>
    </xf>
    <xf numFmtId="0" fontId="4" fillId="2" borderId="0" xfId="0" applyFont="1" applyFill="1" applyAlignment="1">
      <alignment horizontal="center" vertical="center"/>
    </xf>
    <xf numFmtId="0" fontId="4" fillId="2" borderId="0" xfId="1" applyFont="1" applyFill="1" applyAlignment="1">
      <alignment vertical="center" wrapText="1"/>
    </xf>
    <xf numFmtId="0" fontId="6" fillId="2" borderId="0" xfId="1" applyFont="1" applyFill="1" applyAlignment="1">
      <alignment vertical="center" wrapText="1"/>
    </xf>
    <xf numFmtId="0" fontId="6" fillId="2" borderId="0" xfId="1" applyFont="1" applyFill="1" applyAlignment="1">
      <alignment vertical="center"/>
    </xf>
    <xf numFmtId="0" fontId="6" fillId="2" borderId="0" xfId="0" applyFont="1" applyFill="1" applyAlignment="1">
      <alignment vertical="center"/>
    </xf>
    <xf numFmtId="0" fontId="4" fillId="2" borderId="0" xfId="0" applyFont="1" applyFill="1" applyAlignment="1">
      <alignment vertical="center" wrapText="1"/>
    </xf>
    <xf numFmtId="0" fontId="6" fillId="2" borderId="0" xfId="0" applyFont="1" applyFill="1" applyAlignment="1">
      <alignment vertical="center" wrapText="1"/>
    </xf>
    <xf numFmtId="0" fontId="6" fillId="2" borderId="0" xfId="0" applyFont="1" applyFill="1"/>
    <xf numFmtId="0" fontId="6" fillId="2" borderId="0" xfId="0" applyFont="1" applyFill="1" applyAlignment="1">
      <alignment wrapText="1"/>
    </xf>
    <xf numFmtId="0" fontId="3" fillId="2" borderId="0" xfId="0" applyFont="1" applyFill="1" applyAlignment="1">
      <alignment wrapText="1"/>
    </xf>
    <xf numFmtId="0" fontId="3" fillId="2" borderId="0" xfId="1" applyFont="1" applyFill="1" applyAlignment="1">
      <alignment vertical="center" wrapText="1"/>
    </xf>
    <xf numFmtId="0" fontId="3" fillId="2" borderId="0" xfId="1" applyFont="1" applyFill="1" applyAlignment="1">
      <alignment vertical="center"/>
    </xf>
    <xf numFmtId="0" fontId="5" fillId="2" borderId="0" xfId="0" applyFont="1" applyFill="1" applyAlignment="1">
      <alignment vertical="center"/>
    </xf>
    <xf numFmtId="0" fontId="3" fillId="2" borderId="0" xfId="0" applyFont="1" applyFill="1" applyAlignment="1">
      <alignment vertical="center" wrapText="1"/>
    </xf>
    <xf numFmtId="0" fontId="3" fillId="2" borderId="0" xfId="0" applyFont="1" applyFill="1" applyAlignment="1">
      <alignment vertical="center"/>
    </xf>
    <xf numFmtId="0" fontId="3" fillId="2" borderId="0" xfId="0" applyFont="1" applyFill="1"/>
    <xf numFmtId="0" fontId="4" fillId="3" borderId="1" xfId="1" applyFont="1" applyFill="1" applyBorder="1" applyAlignment="1">
      <alignment horizontal="center" vertical="center"/>
    </xf>
    <xf numFmtId="0" fontId="4" fillId="3" borderId="1" xfId="0" applyFont="1" applyFill="1" applyBorder="1" applyAlignment="1">
      <alignment horizontal="center" vertical="center"/>
    </xf>
    <xf numFmtId="0" fontId="0" fillId="4" borderId="0" xfId="0" applyFill="1"/>
    <xf numFmtId="0" fontId="1" fillId="2" borderId="0" xfId="1" applyFill="1"/>
    <xf numFmtId="0" fontId="1" fillId="2" borderId="0" xfId="1" applyFill="1" applyAlignment="1">
      <alignment vertical="center"/>
    </xf>
    <xf numFmtId="0" fontId="5" fillId="4" borderId="0" xfId="0" applyFont="1" applyFill="1"/>
    <xf numFmtId="0" fontId="8" fillId="2" borderId="0" xfId="1" applyFont="1" applyFill="1"/>
    <xf numFmtId="0" fontId="12" fillId="8" borderId="7" xfId="0" applyFont="1" applyFill="1" applyBorder="1" applyAlignment="1">
      <alignment horizontal="center" vertical="center"/>
    </xf>
    <xf numFmtId="0" fontId="12" fillId="9" borderId="8" xfId="0" applyFont="1" applyFill="1" applyBorder="1" applyAlignment="1">
      <alignment horizontal="center" vertical="center"/>
    </xf>
    <xf numFmtId="0" fontId="18" fillId="10" borderId="9" xfId="0" applyFont="1" applyFill="1" applyBorder="1" applyAlignment="1">
      <alignment horizontal="center" vertical="center"/>
    </xf>
    <xf numFmtId="0" fontId="18" fillId="11" borderId="9" xfId="0" applyFont="1" applyFill="1" applyBorder="1" applyAlignment="1">
      <alignment horizontal="center" vertical="center"/>
    </xf>
    <xf numFmtId="0" fontId="12" fillId="12" borderId="9" xfId="0" applyFont="1" applyFill="1" applyBorder="1" applyAlignment="1">
      <alignment horizontal="center" vertical="center"/>
    </xf>
    <xf numFmtId="0" fontId="18" fillId="6" borderId="9" xfId="0" applyFont="1" applyFill="1" applyBorder="1" applyAlignment="1">
      <alignment horizontal="center" vertical="center"/>
    </xf>
    <xf numFmtId="0" fontId="18" fillId="13" borderId="9" xfId="0" applyFont="1" applyFill="1" applyBorder="1" applyAlignment="1">
      <alignment horizontal="center" vertical="center"/>
    </xf>
    <xf numFmtId="0" fontId="18" fillId="14" borderId="13" xfId="0" applyFont="1" applyFill="1" applyBorder="1" applyAlignment="1">
      <alignment horizontal="center" vertical="center"/>
    </xf>
    <xf numFmtId="0" fontId="13" fillId="0" borderId="0" xfId="0" applyFont="1"/>
    <xf numFmtId="0" fontId="13" fillId="0" borderId="14" xfId="0" applyFont="1" applyBorder="1" applyAlignment="1">
      <alignment horizontal="right" vertical="center"/>
    </xf>
    <xf numFmtId="0" fontId="13" fillId="0" borderId="15" xfId="0" applyFont="1" applyBorder="1" applyAlignment="1">
      <alignment horizontal="right" vertical="center"/>
    </xf>
    <xf numFmtId="0" fontId="13" fillId="0" borderId="16" xfId="0" applyFont="1" applyBorder="1" applyAlignment="1">
      <alignment horizontal="right" vertical="center"/>
    </xf>
    <xf numFmtId="0" fontId="4" fillId="3" borderId="1" xfId="1" applyFont="1" applyFill="1" applyBorder="1" applyAlignment="1" applyProtection="1">
      <alignment horizontal="center" vertical="center"/>
      <protection locked="0"/>
    </xf>
    <xf numFmtId="0" fontId="4" fillId="2" borderId="0" xfId="1" applyFont="1" applyFill="1" applyAlignment="1" applyProtection="1">
      <alignment horizontal="center" vertical="center"/>
      <protection locked="0"/>
    </xf>
    <xf numFmtId="0" fontId="22" fillId="0" borderId="17" xfId="0" applyFont="1" applyBorder="1" applyAlignment="1">
      <alignment horizontal="center" vertical="center" wrapText="1"/>
    </xf>
    <xf numFmtId="0" fontId="0" fillId="7" borderId="18" xfId="0" applyFill="1" applyBorder="1" applyAlignment="1">
      <alignment horizontal="left" vertical="center" wrapText="1"/>
    </xf>
    <xf numFmtId="0" fontId="0" fillId="7" borderId="20" xfId="0" applyFill="1" applyBorder="1" applyAlignment="1">
      <alignment horizontal="left" vertical="center" wrapText="1"/>
    </xf>
    <xf numFmtId="0" fontId="0" fillId="7" borderId="21" xfId="0" applyFill="1" applyBorder="1" applyAlignment="1">
      <alignment horizontal="left" vertical="center" wrapText="1"/>
    </xf>
    <xf numFmtId="0" fontId="0" fillId="0" borderId="19" xfId="0" applyBorder="1" applyAlignment="1">
      <alignment horizontal="left" vertical="center" wrapText="1"/>
    </xf>
    <xf numFmtId="0" fontId="21" fillId="7" borderId="17" xfId="0" applyFont="1" applyFill="1" applyBorder="1" applyAlignment="1">
      <alignment horizontal="center" vertical="center" wrapText="1"/>
    </xf>
    <xf numFmtId="0" fontId="5" fillId="7" borderId="18" xfId="0" applyFont="1" applyFill="1" applyBorder="1" applyAlignment="1">
      <alignment horizontal="left" vertical="center" wrapText="1"/>
    </xf>
    <xf numFmtId="0" fontId="5" fillId="7" borderId="20" xfId="0" applyFont="1" applyFill="1" applyBorder="1" applyAlignment="1">
      <alignment horizontal="left" vertical="center" wrapText="1"/>
    </xf>
    <xf numFmtId="0" fontId="5" fillId="0" borderId="19" xfId="0" applyFont="1" applyBorder="1" applyAlignment="1">
      <alignment horizontal="left" vertical="center" wrapText="1"/>
    </xf>
    <xf numFmtId="0" fontId="5" fillId="7" borderId="21" xfId="0" applyFont="1" applyFill="1" applyBorder="1" applyAlignment="1">
      <alignment horizontal="left" vertical="center" wrapText="1"/>
    </xf>
    <xf numFmtId="0" fontId="4" fillId="2" borderId="0" xfId="1" applyFont="1" applyFill="1" applyAlignment="1">
      <alignment horizontal="center" vertical="center" wrapText="1"/>
    </xf>
    <xf numFmtId="0" fontId="8" fillId="2" borderId="0" xfId="1" applyFont="1" applyFill="1" applyAlignment="1">
      <alignment vertical="center"/>
    </xf>
    <xf numFmtId="0" fontId="3" fillId="3" borderId="0" xfId="1" applyFont="1" applyFill="1" applyAlignment="1">
      <alignment vertical="center"/>
    </xf>
    <xf numFmtId="0" fontId="24" fillId="15" borderId="0" xfId="0" applyFont="1" applyFill="1" applyAlignment="1">
      <alignment horizontal="right" vertical="center"/>
    </xf>
    <xf numFmtId="0" fontId="0" fillId="15" borderId="0" xfId="0" applyFill="1"/>
    <xf numFmtId="0" fontId="3" fillId="3" borderId="0" xfId="1" applyFont="1" applyFill="1"/>
    <xf numFmtId="0" fontId="5" fillId="15" borderId="0" xfId="0" applyFont="1" applyFill="1"/>
    <xf numFmtId="0" fontId="6" fillId="3" borderId="0" xfId="1" applyFont="1" applyFill="1" applyAlignment="1">
      <alignment vertical="center"/>
    </xf>
    <xf numFmtId="0" fontId="9" fillId="15" borderId="0" xfId="0" quotePrefix="1" applyFont="1" applyFill="1" applyAlignment="1">
      <alignment horizontal="right" vertical="center"/>
    </xf>
    <xf numFmtId="0" fontId="5" fillId="15" borderId="0" xfId="0" applyFont="1" applyFill="1" applyAlignment="1">
      <alignment vertical="center"/>
    </xf>
    <xf numFmtId="0" fontId="6" fillId="15" borderId="0" xfId="0" applyFont="1" applyFill="1" applyAlignment="1">
      <alignment vertical="center"/>
    </xf>
    <xf numFmtId="0" fontId="6" fillId="15" borderId="0" xfId="0" applyFont="1" applyFill="1" applyAlignment="1">
      <alignment horizontal="center" vertical="center"/>
    </xf>
    <xf numFmtId="0" fontId="8" fillId="15" borderId="0" xfId="0" applyFont="1" applyFill="1" applyAlignment="1">
      <alignment vertical="center"/>
    </xf>
    <xf numFmtId="0" fontId="25" fillId="3" borderId="0" xfId="1" applyFont="1" applyFill="1" applyAlignment="1">
      <alignment vertical="center"/>
    </xf>
    <xf numFmtId="0" fontId="5" fillId="3" borderId="0" xfId="1" applyFont="1" applyFill="1"/>
    <xf numFmtId="0" fontId="8" fillId="3" borderId="0" xfId="1" applyFont="1" applyFill="1"/>
    <xf numFmtId="0" fontId="10" fillId="15" borderId="0" xfId="0" applyFont="1" applyFill="1" applyAlignment="1">
      <alignment horizontal="center" vertical="center"/>
    </xf>
    <xf numFmtId="0" fontId="3" fillId="15" borderId="0" xfId="0" applyFont="1" applyFill="1"/>
    <xf numFmtId="0" fontId="1" fillId="15" borderId="0" xfId="0" applyFont="1" applyFill="1"/>
    <xf numFmtId="0" fontId="3" fillId="15" borderId="0" xfId="0" applyFont="1" applyFill="1" applyAlignment="1">
      <alignment vertical="center"/>
    </xf>
    <xf numFmtId="0" fontId="1" fillId="3" borderId="0" xfId="1" applyFill="1"/>
    <xf numFmtId="0" fontId="5" fillId="7" borderId="0" xfId="0" applyFont="1" applyFill="1" applyAlignment="1">
      <alignment vertical="center"/>
    </xf>
    <xf numFmtId="0" fontId="6" fillId="7" borderId="0" xfId="0" applyFont="1" applyFill="1" applyAlignment="1">
      <alignment vertical="center"/>
    </xf>
    <xf numFmtId="0" fontId="24" fillId="7" borderId="2" xfId="0" applyFont="1" applyFill="1" applyBorder="1" applyAlignment="1">
      <alignment horizontal="right" vertical="center"/>
    </xf>
    <xf numFmtId="0" fontId="25" fillId="7" borderId="3" xfId="0" applyFont="1" applyFill="1" applyBorder="1" applyAlignment="1">
      <alignment vertical="center"/>
    </xf>
    <xf numFmtId="0" fontId="24" fillId="7" borderId="3" xfId="0" applyFont="1" applyFill="1" applyBorder="1" applyAlignment="1">
      <alignment horizontal="center" vertical="center"/>
    </xf>
    <xf numFmtId="0" fontId="24" fillId="7" borderId="4" xfId="0" applyFont="1" applyFill="1" applyBorder="1" applyAlignment="1">
      <alignment horizontal="center" vertical="center"/>
    </xf>
    <xf numFmtId="0" fontId="25" fillId="15" borderId="23" xfId="0" applyFont="1" applyFill="1" applyBorder="1" applyAlignment="1">
      <alignment horizontal="center" vertical="center"/>
    </xf>
    <xf numFmtId="0" fontId="25" fillId="15" borderId="0" xfId="0" applyFont="1" applyFill="1" applyAlignment="1">
      <alignment horizontal="center" vertical="center"/>
    </xf>
    <xf numFmtId="0" fontId="9" fillId="7" borderId="0" xfId="0" quotePrefix="1" applyFont="1" applyFill="1" applyAlignment="1">
      <alignment horizontal="right" vertical="center"/>
    </xf>
    <xf numFmtId="0" fontId="4" fillId="0" borderId="0" xfId="1" applyFont="1" applyAlignment="1">
      <alignment horizontal="center" vertical="center"/>
    </xf>
    <xf numFmtId="0" fontId="3" fillId="0" borderId="0" xfId="1" applyFont="1"/>
    <xf numFmtId="0" fontId="3" fillId="0" borderId="0" xfId="1" applyFont="1" applyAlignment="1">
      <alignment wrapText="1"/>
    </xf>
    <xf numFmtId="0" fontId="6" fillId="0" borderId="0" xfId="1" applyFont="1" applyAlignment="1">
      <alignment vertical="center"/>
    </xf>
    <xf numFmtId="0" fontId="9" fillId="0" borderId="0" xfId="0" quotePrefix="1" applyFont="1" applyAlignment="1">
      <alignment horizontal="right" vertical="center"/>
    </xf>
    <xf numFmtId="0" fontId="3" fillId="0" borderId="0" xfId="0" applyFont="1" applyAlignment="1">
      <alignment horizontal="center" vertical="center"/>
    </xf>
    <xf numFmtId="0" fontId="14" fillId="0" borderId="0" xfId="0" applyFont="1" applyAlignment="1">
      <alignment vertical="center"/>
    </xf>
    <xf numFmtId="0" fontId="14" fillId="0" borderId="0" xfId="0" quotePrefix="1" applyFont="1" applyAlignment="1">
      <alignment horizontal="right" vertical="center"/>
    </xf>
    <xf numFmtId="0" fontId="3" fillId="0" borderId="0" xfId="1" applyFont="1" applyAlignment="1">
      <alignment vertical="center"/>
    </xf>
    <xf numFmtId="0" fontId="7" fillId="0" borderId="0" xfId="2" applyFont="1" applyFill="1" applyAlignment="1" applyProtection="1">
      <alignment vertical="center" wrapText="1"/>
    </xf>
    <xf numFmtId="0" fontId="23" fillId="0" borderId="0" xfId="1" applyFont="1"/>
    <xf numFmtId="0" fontId="3" fillId="0" borderId="0" xfId="1" applyFont="1" applyAlignment="1">
      <alignment vertical="top"/>
    </xf>
    <xf numFmtId="0" fontId="27" fillId="0" borderId="0" xfId="1" applyFont="1" applyAlignment="1">
      <alignment horizontal="right" vertical="top"/>
    </xf>
    <xf numFmtId="0" fontId="28" fillId="7" borderId="0" xfId="0" applyFont="1" applyFill="1" applyAlignment="1">
      <alignment vertical="center"/>
    </xf>
    <xf numFmtId="0" fontId="29" fillId="0" borderId="0" xfId="1" applyFont="1" applyAlignment="1">
      <alignment horizontal="center" vertical="center"/>
    </xf>
    <xf numFmtId="0" fontId="29" fillId="0" borderId="5" xfId="1" applyFont="1" applyBorder="1" applyAlignment="1">
      <alignment horizontal="left" vertical="center"/>
    </xf>
    <xf numFmtId="0" fontId="30" fillId="0" borderId="0" xfId="1" applyFont="1"/>
    <xf numFmtId="0" fontId="30" fillId="0" borderId="0" xfId="0" applyFont="1"/>
    <xf numFmtId="0" fontId="30" fillId="0" borderId="0" xfId="0" applyFont="1" applyAlignment="1">
      <alignment wrapText="1"/>
    </xf>
    <xf numFmtId="0" fontId="31" fillId="0" borderId="0" xfId="0" quotePrefix="1" applyFont="1" applyAlignment="1">
      <alignment horizontal="right" vertical="center"/>
    </xf>
    <xf numFmtId="0" fontId="30" fillId="0" borderId="0" xfId="0" applyFont="1" applyAlignment="1">
      <alignment horizontal="center" vertical="center"/>
    </xf>
    <xf numFmtId="0" fontId="32" fillId="0" borderId="0" xfId="0" applyFont="1" applyAlignment="1">
      <alignment vertical="center"/>
    </xf>
    <xf numFmtId="0" fontId="32" fillId="0" borderId="0" xfId="0" quotePrefix="1" applyFont="1" applyAlignment="1">
      <alignment horizontal="right" vertical="center"/>
    </xf>
    <xf numFmtId="0" fontId="31" fillId="7" borderId="0" xfId="0" quotePrefix="1" applyFont="1" applyFill="1" applyAlignment="1">
      <alignment horizontal="right" vertical="center"/>
    </xf>
    <xf numFmtId="0" fontId="28" fillId="15" borderId="0" xfId="1" applyFont="1" applyFill="1"/>
    <xf numFmtId="0" fontId="4" fillId="15" borderId="0" xfId="1" applyFont="1" applyFill="1" applyAlignment="1">
      <alignment horizontal="center" vertical="center"/>
    </xf>
    <xf numFmtId="0" fontId="10" fillId="15" borderId="0" xfId="0" applyFont="1" applyFill="1" applyAlignment="1">
      <alignment horizontal="left" vertical="center"/>
    </xf>
    <xf numFmtId="0" fontId="17" fillId="10" borderId="8" xfId="0" applyFont="1" applyFill="1" applyBorder="1" applyAlignment="1" applyProtection="1">
      <alignment horizontal="left" vertical="center"/>
      <protection locked="0"/>
    </xf>
    <xf numFmtId="0" fontId="20" fillId="0" borderId="0" xfId="0" applyFont="1" applyAlignment="1">
      <alignment horizontal="right" vertical="top"/>
    </xf>
    <xf numFmtId="0" fontId="19" fillId="5" borderId="11" xfId="0" applyFont="1" applyFill="1" applyBorder="1" applyAlignment="1" applyProtection="1">
      <alignment horizontal="center" vertical="center"/>
      <protection locked="0"/>
    </xf>
    <xf numFmtId="0" fontId="19" fillId="5" borderId="10" xfId="0" applyFont="1" applyFill="1" applyBorder="1" applyAlignment="1" applyProtection="1">
      <alignment horizontal="center" vertical="center"/>
      <protection locked="0"/>
    </xf>
    <xf numFmtId="0" fontId="13" fillId="9" borderId="8" xfId="0" applyFont="1" applyFill="1" applyBorder="1" applyAlignment="1" applyProtection="1">
      <alignment horizontal="left" vertical="center"/>
      <protection locked="0"/>
    </xf>
    <xf numFmtId="0" fontId="16" fillId="0" borderId="0" xfId="0" applyFont="1" applyAlignment="1">
      <alignment horizontal="right" vertical="center" textRotation="90"/>
    </xf>
    <xf numFmtId="0" fontId="13" fillId="8" borderId="6" xfId="0" applyFont="1" applyFill="1" applyBorder="1" applyAlignment="1" applyProtection="1">
      <alignment horizontal="left" vertical="center"/>
      <protection locked="0"/>
    </xf>
    <xf numFmtId="0" fontId="13" fillId="14" borderId="12" xfId="0" applyFont="1" applyFill="1" applyBorder="1" applyAlignment="1" applyProtection="1">
      <alignment horizontal="left" vertical="center"/>
      <protection locked="0"/>
    </xf>
    <xf numFmtId="0" fontId="17" fillId="13" borderId="8" xfId="0" applyFont="1" applyFill="1" applyBorder="1" applyAlignment="1" applyProtection="1">
      <alignment horizontal="left" vertical="center"/>
      <protection locked="0"/>
    </xf>
    <xf numFmtId="0" fontId="13" fillId="6" borderId="8" xfId="0" applyFont="1" applyFill="1" applyBorder="1" applyAlignment="1" applyProtection="1">
      <alignment horizontal="left" vertical="center"/>
      <protection locked="0"/>
    </xf>
    <xf numFmtId="0" fontId="13" fillId="12" borderId="8" xfId="0" applyFont="1" applyFill="1" applyBorder="1" applyAlignment="1" applyProtection="1">
      <alignment horizontal="left" vertical="center"/>
      <protection locked="0"/>
    </xf>
    <xf numFmtId="0" fontId="17" fillId="11" borderId="8" xfId="0" applyFont="1" applyFill="1" applyBorder="1" applyAlignment="1" applyProtection="1">
      <alignment horizontal="left" vertical="center"/>
      <protection locked="0"/>
    </xf>
    <xf numFmtId="0" fontId="7" fillId="2" borderId="0" xfId="2" applyFont="1" applyFill="1" applyAlignment="1" applyProtection="1">
      <alignment horizontal="center" vertical="center" wrapText="1"/>
    </xf>
    <xf numFmtId="0" fontId="4" fillId="2" borderId="0" xfId="2" applyFont="1" applyFill="1" applyAlignment="1" applyProtection="1">
      <alignment horizontal="center" vertical="center" wrapText="1"/>
    </xf>
    <xf numFmtId="0" fontId="6" fillId="2" borderId="0" xfId="0" applyFont="1" applyFill="1" applyAlignment="1">
      <alignment horizontal="center" vertical="center" shrinkToFit="1"/>
    </xf>
    <xf numFmtId="0" fontId="6" fillId="2" borderId="0" xfId="0" applyFont="1" applyFill="1" applyAlignment="1">
      <alignment horizontal="center" vertical="center"/>
    </xf>
    <xf numFmtId="0" fontId="9" fillId="2" borderId="0" xfId="0" applyFont="1" applyFill="1" applyAlignment="1">
      <alignment horizontal="center" vertical="center"/>
    </xf>
    <xf numFmtId="0" fontId="9" fillId="2" borderId="0" xfId="0" applyFont="1" applyFill="1" applyAlignment="1">
      <alignment horizontal="center" vertical="center" shrinkToFit="1"/>
    </xf>
    <xf numFmtId="0" fontId="6" fillId="2" borderId="0" xfId="0" applyFont="1" applyFill="1" applyAlignment="1">
      <alignment horizontal="right" vertical="center" shrinkToFit="1"/>
    </xf>
    <xf numFmtId="0" fontId="6" fillId="2" borderId="0" xfId="1" applyFont="1" applyFill="1" applyAlignment="1">
      <alignment horizontal="center" vertical="center"/>
    </xf>
    <xf numFmtId="0" fontId="11" fillId="7" borderId="2" xfId="0" applyFont="1" applyFill="1" applyBorder="1" applyAlignment="1">
      <alignment horizontal="left" vertical="center"/>
    </xf>
    <xf numFmtId="0" fontId="11" fillId="7" borderId="3" xfId="0" applyFont="1" applyFill="1" applyBorder="1" applyAlignment="1">
      <alignment horizontal="left" vertical="center"/>
    </xf>
    <xf numFmtId="0" fontId="11" fillId="7" borderId="4" xfId="0" applyFont="1" applyFill="1" applyBorder="1" applyAlignment="1">
      <alignment horizontal="left" vertical="center"/>
    </xf>
    <xf numFmtId="0" fontId="6" fillId="2" borderId="0" xfId="1" applyFont="1" applyFill="1" applyAlignment="1">
      <alignment horizontal="justify" vertical="center" wrapText="1"/>
    </xf>
    <xf numFmtId="0" fontId="3" fillId="2" borderId="0" xfId="1" applyFont="1" applyFill="1" applyAlignment="1">
      <alignment horizontal="justify" vertical="center" wrapText="1"/>
    </xf>
    <xf numFmtId="0" fontId="6" fillId="2" borderId="0" xfId="0" applyFont="1" applyFill="1" applyAlignment="1">
      <alignment horizontal="justify" vertical="center" wrapText="1"/>
    </xf>
    <xf numFmtId="0" fontId="3" fillId="2" borderId="0" xfId="0" applyFont="1" applyFill="1" applyAlignment="1">
      <alignment horizontal="justify" vertical="center" wrapText="1"/>
    </xf>
    <xf numFmtId="0" fontId="24" fillId="7" borderId="2" xfId="0" applyFont="1" applyFill="1" applyBorder="1" applyAlignment="1">
      <alignment horizontal="center" vertical="center"/>
    </xf>
    <xf numFmtId="0" fontId="24" fillId="7" borderId="4" xfId="0" applyFont="1" applyFill="1" applyBorder="1" applyAlignment="1">
      <alignment horizontal="center" vertical="center"/>
    </xf>
    <xf numFmtId="0" fontId="24" fillId="7" borderId="3" xfId="0" applyFont="1" applyFill="1" applyBorder="1" applyAlignment="1">
      <alignment horizontal="center" vertical="center"/>
    </xf>
    <xf numFmtId="0" fontId="4" fillId="2" borderId="0" xfId="1" applyFont="1" applyFill="1" applyAlignment="1">
      <alignment horizontal="left" vertical="center" wrapText="1"/>
    </xf>
    <xf numFmtId="0" fontId="4" fillId="2" borderId="0" xfId="0" applyFont="1" applyFill="1" applyAlignment="1">
      <alignment horizontal="left" vertical="center" wrapText="1"/>
    </xf>
    <xf numFmtId="0" fontId="15" fillId="3" borderId="22" xfId="1" applyFont="1" applyFill="1" applyBorder="1" applyAlignment="1">
      <alignment horizontal="center" vertical="center"/>
    </xf>
    <xf numFmtId="0" fontId="26" fillId="5" borderId="22" xfId="1" applyFont="1" applyFill="1" applyBorder="1" applyAlignment="1">
      <alignment horizontal="center" vertical="center"/>
    </xf>
    <xf numFmtId="0" fontId="33" fillId="9" borderId="2" xfId="1" applyFont="1" applyFill="1" applyBorder="1" applyAlignment="1">
      <alignment horizontal="center" vertical="center" wrapText="1"/>
    </xf>
    <xf numFmtId="0" fontId="33" fillId="9" borderId="3" xfId="1" applyFont="1" applyFill="1" applyBorder="1" applyAlignment="1">
      <alignment horizontal="center" vertical="center" wrapText="1"/>
    </xf>
    <xf numFmtId="0" fontId="33" fillId="9" borderId="4" xfId="1" applyFont="1" applyFill="1" applyBorder="1" applyAlignment="1">
      <alignment horizontal="center" vertical="center" wrapText="1"/>
    </xf>
    <xf numFmtId="0" fontId="33" fillId="14" borderId="2" xfId="1" applyFont="1" applyFill="1" applyBorder="1" applyAlignment="1">
      <alignment horizontal="center" vertical="center" wrapText="1"/>
    </xf>
    <xf numFmtId="0" fontId="33" fillId="14" borderId="3" xfId="1" applyFont="1" applyFill="1" applyBorder="1" applyAlignment="1">
      <alignment horizontal="center" vertical="center" wrapText="1"/>
    </xf>
    <xf numFmtId="0" fontId="33" fillId="14" borderId="4" xfId="1" applyFont="1" applyFill="1" applyBorder="1" applyAlignment="1">
      <alignment horizontal="center" vertical="center" wrapText="1"/>
    </xf>
    <xf numFmtId="0" fontId="29" fillId="7" borderId="2" xfId="1" applyFont="1" applyFill="1" applyBorder="1" applyAlignment="1">
      <alignment horizontal="center" vertical="center"/>
    </xf>
    <xf numFmtId="0" fontId="29" fillId="7" borderId="3" xfId="1" applyFont="1" applyFill="1" applyBorder="1" applyAlignment="1">
      <alignment horizontal="center" vertical="center"/>
    </xf>
    <xf numFmtId="0" fontId="29" fillId="7" borderId="4" xfId="1" applyFont="1" applyFill="1" applyBorder="1" applyAlignment="1">
      <alignment horizontal="center" vertical="center"/>
    </xf>
    <xf numFmtId="0" fontId="33" fillId="5" borderId="2" xfId="1" applyFont="1" applyFill="1" applyBorder="1" applyAlignment="1">
      <alignment horizontal="center" vertical="center" wrapText="1"/>
    </xf>
    <xf numFmtId="0" fontId="33" fillId="5" borderId="3" xfId="1" applyFont="1" applyFill="1" applyBorder="1" applyAlignment="1">
      <alignment horizontal="center" vertical="center" wrapText="1"/>
    </xf>
    <xf numFmtId="0" fontId="33" fillId="5" borderId="4" xfId="1" applyFont="1" applyFill="1" applyBorder="1" applyAlignment="1">
      <alignment horizontal="center" vertical="center" wrapText="1"/>
    </xf>
    <xf numFmtId="0" fontId="34" fillId="13" borderId="2" xfId="1" applyFont="1" applyFill="1" applyBorder="1" applyAlignment="1">
      <alignment horizontal="center" vertical="center" wrapText="1"/>
    </xf>
    <xf numFmtId="0" fontId="34" fillId="13" borderId="3" xfId="1" applyFont="1" applyFill="1" applyBorder="1" applyAlignment="1">
      <alignment horizontal="center" vertical="center" wrapText="1"/>
    </xf>
    <xf numFmtId="0" fontId="34" fillId="13" borderId="4" xfId="1" applyFont="1" applyFill="1" applyBorder="1" applyAlignment="1">
      <alignment horizontal="center" vertical="center" wrapText="1"/>
    </xf>
    <xf numFmtId="0" fontId="33" fillId="6" borderId="2" xfId="1" applyFont="1" applyFill="1" applyBorder="1" applyAlignment="1">
      <alignment horizontal="center" vertical="center" wrapText="1"/>
    </xf>
    <xf numFmtId="0" fontId="33" fillId="6" borderId="3" xfId="1" applyFont="1" applyFill="1" applyBorder="1" applyAlignment="1">
      <alignment horizontal="center" vertical="center" wrapText="1"/>
    </xf>
    <xf numFmtId="0" fontId="33" fillId="6" borderId="4" xfId="1" applyFont="1" applyFill="1" applyBorder="1" applyAlignment="1">
      <alignment horizontal="center" vertical="center" wrapText="1"/>
    </xf>
    <xf numFmtId="0" fontId="33" fillId="12" borderId="2" xfId="1" applyFont="1" applyFill="1" applyBorder="1" applyAlignment="1">
      <alignment horizontal="center" vertical="center" wrapText="1"/>
    </xf>
    <xf numFmtId="0" fontId="33" fillId="12" borderId="3" xfId="1" applyFont="1" applyFill="1" applyBorder="1" applyAlignment="1">
      <alignment horizontal="center" vertical="center" wrapText="1"/>
    </xf>
    <xf numFmtId="0" fontId="33" fillId="12" borderId="4" xfId="1" applyFont="1" applyFill="1" applyBorder="1" applyAlignment="1">
      <alignment horizontal="center" vertical="center" wrapText="1"/>
    </xf>
    <xf numFmtId="0" fontId="34" fillId="11" borderId="2" xfId="1" applyFont="1" applyFill="1" applyBorder="1" applyAlignment="1">
      <alignment horizontal="center" vertical="center" wrapText="1"/>
    </xf>
    <xf numFmtId="0" fontId="34" fillId="11" borderId="3" xfId="1" applyFont="1" applyFill="1" applyBorder="1" applyAlignment="1">
      <alignment horizontal="center" vertical="center" wrapText="1"/>
    </xf>
    <xf numFmtId="0" fontId="34" fillId="11" borderId="4" xfId="1" applyFont="1" applyFill="1" applyBorder="1" applyAlignment="1">
      <alignment horizontal="center" vertical="center" wrapText="1"/>
    </xf>
    <xf numFmtId="0" fontId="34" fillId="10" borderId="2" xfId="1" applyFont="1" applyFill="1" applyBorder="1" applyAlignment="1">
      <alignment horizontal="center" vertical="center" wrapText="1"/>
    </xf>
    <xf numFmtId="0" fontId="34" fillId="10" borderId="3" xfId="1" applyFont="1" applyFill="1" applyBorder="1" applyAlignment="1">
      <alignment horizontal="center" vertical="center" wrapText="1"/>
    </xf>
    <xf numFmtId="0" fontId="34" fillId="10" borderId="4" xfId="1" applyFont="1" applyFill="1" applyBorder="1" applyAlignment="1">
      <alignment horizontal="center" vertical="center" wrapText="1"/>
    </xf>
    <xf numFmtId="0" fontId="0" fillId="7" borderId="21" xfId="0" applyFill="1" applyBorder="1" applyAlignment="1">
      <alignment horizontal="left" vertical="center" wrapText="1"/>
    </xf>
    <xf numFmtId="0" fontId="0" fillId="7" borderId="20" xfId="0" applyFill="1" applyBorder="1" applyAlignment="1">
      <alignment horizontal="left" vertical="center" wrapText="1"/>
    </xf>
    <xf numFmtId="0" fontId="0" fillId="7" borderId="21" xfId="0" quotePrefix="1" applyFill="1" applyBorder="1" applyAlignment="1">
      <alignment horizontal="left" vertical="center" wrapText="1"/>
    </xf>
    <xf numFmtId="0" fontId="22" fillId="7" borderId="21" xfId="0" applyFont="1" applyFill="1" applyBorder="1" applyAlignment="1">
      <alignment horizontal="center" vertical="center" wrapText="1"/>
    </xf>
    <xf numFmtId="0" fontId="22" fillId="7" borderId="18" xfId="0" applyFont="1" applyFill="1" applyBorder="1" applyAlignment="1">
      <alignment horizontal="center" vertical="center" wrapText="1"/>
    </xf>
    <xf numFmtId="0" fontId="0" fillId="7" borderId="18" xfId="0" applyFill="1" applyBorder="1" applyAlignment="1">
      <alignment horizontal="left" vertical="center" wrapText="1"/>
    </xf>
    <xf numFmtId="0" fontId="22" fillId="0" borderId="19" xfId="0" applyFont="1" applyBorder="1" applyAlignment="1">
      <alignment horizontal="center" vertical="center" wrapText="1"/>
    </xf>
    <xf numFmtId="0" fontId="0" fillId="0" borderId="19" xfId="0" applyBorder="1" applyAlignment="1">
      <alignment horizontal="left" vertical="center" wrapText="1"/>
    </xf>
    <xf numFmtId="0" fontId="0" fillId="0" borderId="19" xfId="0" quotePrefix="1" applyBorder="1" applyAlignment="1">
      <alignment horizontal="left" vertical="center" wrapText="1"/>
    </xf>
    <xf numFmtId="0" fontId="22" fillId="7" borderId="20" xfId="0" applyFont="1" applyFill="1" applyBorder="1" applyAlignment="1">
      <alignment horizontal="center" vertical="center" wrapText="1"/>
    </xf>
    <xf numFmtId="0" fontId="0" fillId="7" borderId="18" xfId="0" quotePrefix="1" applyFill="1" applyBorder="1" applyAlignment="1">
      <alignment horizontal="left" vertical="center" wrapText="1"/>
    </xf>
    <xf numFmtId="0" fontId="21" fillId="7" borderId="21" xfId="0" applyFont="1" applyFill="1" applyBorder="1" applyAlignment="1">
      <alignment horizontal="center" vertical="center" wrapText="1"/>
    </xf>
    <xf numFmtId="0" fontId="21" fillId="7" borderId="18" xfId="0" applyFont="1" applyFill="1" applyBorder="1" applyAlignment="1">
      <alignment horizontal="center" vertical="center" wrapText="1"/>
    </xf>
    <xf numFmtId="0" fontId="5" fillId="7" borderId="21" xfId="0" applyFont="1" applyFill="1" applyBorder="1" applyAlignment="1">
      <alignment horizontal="left" vertical="center" wrapText="1"/>
    </xf>
    <xf numFmtId="0" fontId="5" fillId="7" borderId="18" xfId="0" applyFont="1" applyFill="1" applyBorder="1" applyAlignment="1">
      <alignment horizontal="left" vertical="center" wrapText="1"/>
    </xf>
    <xf numFmtId="0" fontId="5" fillId="7" borderId="21" xfId="0" quotePrefix="1" applyFont="1" applyFill="1" applyBorder="1" applyAlignment="1">
      <alignment horizontal="left" vertical="center" wrapText="1"/>
    </xf>
    <xf numFmtId="0" fontId="21" fillId="7" borderId="20" xfId="0" applyFont="1" applyFill="1" applyBorder="1" applyAlignment="1">
      <alignment horizontal="center" vertical="center" wrapText="1"/>
    </xf>
    <xf numFmtId="0" fontId="5" fillId="7" borderId="20" xfId="0" applyFont="1" applyFill="1" applyBorder="1" applyAlignment="1">
      <alignment horizontal="left" vertical="center" wrapText="1"/>
    </xf>
    <xf numFmtId="0" fontId="21" fillId="0" borderId="19" xfId="0" applyFont="1" applyBorder="1" applyAlignment="1">
      <alignment horizontal="center" vertical="center" wrapText="1"/>
    </xf>
    <xf numFmtId="0" fontId="5" fillId="0" borderId="19" xfId="0" applyFont="1" applyBorder="1" applyAlignment="1">
      <alignment horizontal="left" vertical="center" wrapText="1"/>
    </xf>
    <xf numFmtId="0" fontId="5" fillId="0" borderId="19" xfId="0" quotePrefix="1" applyFont="1" applyBorder="1" applyAlignment="1">
      <alignment horizontal="left" vertical="center" wrapText="1"/>
    </xf>
    <xf numFmtId="0" fontId="5" fillId="7" borderId="18" xfId="0" quotePrefix="1" applyFont="1" applyFill="1" applyBorder="1" applyAlignment="1">
      <alignment horizontal="left" vertical="center" wrapText="1"/>
    </xf>
  </cellXfs>
  <cellStyles count="3">
    <cellStyle name="Hyperlink" xfId="2" builtinId="8"/>
    <cellStyle name="Normal" xfId="0" builtinId="0"/>
    <cellStyle name="Standaard 2" xfId="1" xr:uid="{00000000-0005-0000-0000-000002000000}"/>
  </cellStyles>
  <dxfs count="32">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s>
  <tableStyles count="0" defaultTableStyle="TableStyleMedium2" defaultPivotStyle="PivotStyleLight16"/>
  <colors>
    <mruColors>
      <color rgb="FFFFC0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Mārtiņš!$EV$4</c:f>
              <c:strCache>
                <c:ptCount val="1"/>
                <c:pt idx="0">
                  <c:v>Mārtiņš</c:v>
                </c:pt>
              </c:strCache>
            </c:strRef>
          </c:tx>
          <c:spPr>
            <a:solidFill>
              <a:schemeClr val="accent1"/>
            </a:solidFill>
            <a:ln>
              <a:solidFill>
                <a:schemeClr val="accent1"/>
              </a:solidFill>
            </a:ln>
          </c:spPr>
          <c:cat>
            <c:strRef>
              <c:f>Mārtiņš!$EU$5:$EU$13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Mārtiņš!$EV$5:$EV$13</c:f>
              <c:numCache>
                <c:formatCode>General</c:formatCode>
                <c:ptCount val="9"/>
                <c:pt idx="0">
                  <c:v>6</c:v>
                </c:pt>
                <c:pt idx="1">
                  <c:v>7</c:v>
                </c:pt>
                <c:pt idx="2">
                  <c:v>12</c:v>
                </c:pt>
                <c:pt idx="3">
                  <c:v>8</c:v>
                </c:pt>
                <c:pt idx="4">
                  <c:v>4</c:v>
                </c:pt>
                <c:pt idx="5">
                  <c:v>8</c:v>
                </c:pt>
                <c:pt idx="6">
                  <c:v>6</c:v>
                </c:pt>
                <c:pt idx="7">
                  <c:v>8</c:v>
                </c:pt>
                <c:pt idx="8">
                  <c:v>11</c:v>
                </c:pt>
              </c:numCache>
            </c:numRef>
          </c:val>
          <c:extLst>
            <c:ext xmlns:c16="http://schemas.microsoft.com/office/drawing/2014/chart" uri="{C3380CC4-5D6E-409C-BE32-E72D297353CC}">
              <c16:uniqueId val="{00000000-EA9F-4B20-A097-C2F06DC04E70}"/>
            </c:ext>
          </c:extLst>
        </c:ser>
        <c:dLbls>
          <c:showLegendKey val="0"/>
          <c:showVal val="0"/>
          <c:showCatName val="0"/>
          <c:showSerName val="0"/>
          <c:showPercent val="0"/>
          <c:showBubbleSize val="0"/>
        </c:dLbls>
        <c:axId val="132743168"/>
        <c:axId val="132744704"/>
      </c:radarChart>
      <c:catAx>
        <c:axId val="132743168"/>
        <c:scaling>
          <c:orientation val="minMax"/>
        </c:scaling>
        <c:delete val="0"/>
        <c:axPos val="b"/>
        <c:majorGridlines/>
        <c:numFmt formatCode="General" sourceLinked="0"/>
        <c:majorTickMark val="out"/>
        <c:minorTickMark val="none"/>
        <c:tickLblPos val="nextTo"/>
        <c:crossAx val="132744704"/>
        <c:crosses val="autoZero"/>
        <c:auto val="1"/>
        <c:lblAlgn val="ctr"/>
        <c:lblOffset val="100"/>
        <c:noMultiLvlLbl val="0"/>
      </c:catAx>
      <c:valAx>
        <c:axId val="132744704"/>
        <c:scaling>
          <c:orientation val="minMax"/>
        </c:scaling>
        <c:delete val="0"/>
        <c:axPos val="l"/>
        <c:majorGridlines/>
        <c:numFmt formatCode="General" sourceLinked="1"/>
        <c:majorTickMark val="cross"/>
        <c:minorTickMark val="none"/>
        <c:tickLblPos val="nextTo"/>
        <c:crossAx val="132743168"/>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'2'!$EV$4</c:f>
              <c:strCache>
                <c:ptCount val="1"/>
                <c:pt idx="0">
                  <c:v>2</c:v>
                </c:pt>
              </c:strCache>
            </c:strRef>
          </c:tx>
          <c:spPr>
            <a:solidFill>
              <a:schemeClr val="accent3"/>
            </a:solidFill>
            <a:ln>
              <a:solidFill>
                <a:schemeClr val="accent3"/>
              </a:solidFill>
            </a:ln>
          </c:spPr>
          <c:cat>
            <c:strRef>
              <c:f>'2'!$EU$5:$EU$13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'2'!$EV$5:$EV$13</c:f>
              <c:numCache>
                <c:formatCode>General</c:formatCode>
                <c:ptCount val="9"/>
                <c:pt idx="0">
                  <c:v>9</c:v>
                </c:pt>
                <c:pt idx="1">
                  <c:v>5</c:v>
                </c:pt>
                <c:pt idx="2">
                  <c:v>14</c:v>
                </c:pt>
                <c:pt idx="3">
                  <c:v>8</c:v>
                </c:pt>
                <c:pt idx="4">
                  <c:v>4</c:v>
                </c:pt>
                <c:pt idx="5">
                  <c:v>5</c:v>
                </c:pt>
                <c:pt idx="6">
                  <c:v>6</c:v>
                </c:pt>
                <c:pt idx="7">
                  <c:v>8</c:v>
                </c:pt>
                <c:pt idx="8">
                  <c:v>11</c:v>
                </c:pt>
              </c:numCache>
            </c:numRef>
          </c:val>
          <c:extLst>
            <c:ext xmlns:c16="http://schemas.microsoft.com/office/drawing/2014/chart" uri="{C3380CC4-5D6E-409C-BE32-E72D297353CC}">
              <c16:uniqueId val="{00000000-FF2D-401F-A0DC-3D81509E5C8C}"/>
            </c:ext>
          </c:extLst>
        </c:ser>
        <c:dLbls>
          <c:showLegendKey val="0"/>
          <c:showVal val="0"/>
          <c:showCatName val="0"/>
          <c:showSerName val="0"/>
          <c:showPercent val="0"/>
          <c:showBubbleSize val="0"/>
        </c:dLbls>
        <c:axId val="133706880"/>
        <c:axId val="133708416"/>
      </c:radarChart>
      <c:catAx>
        <c:axId val="133706880"/>
        <c:scaling>
          <c:orientation val="minMax"/>
        </c:scaling>
        <c:delete val="0"/>
        <c:axPos val="b"/>
        <c:majorGridlines/>
        <c:numFmt formatCode="General" sourceLinked="0"/>
        <c:majorTickMark val="out"/>
        <c:minorTickMark val="none"/>
        <c:tickLblPos val="nextTo"/>
        <c:crossAx val="133708416"/>
        <c:crosses val="autoZero"/>
        <c:auto val="1"/>
        <c:lblAlgn val="ctr"/>
        <c:lblOffset val="100"/>
        <c:noMultiLvlLbl val="0"/>
      </c:catAx>
      <c:valAx>
        <c:axId val="133708416"/>
        <c:scaling>
          <c:orientation val="minMax"/>
        </c:scaling>
        <c:delete val="0"/>
        <c:axPos val="l"/>
        <c:majorGridlines/>
        <c:numFmt formatCode="General" sourceLinked="1"/>
        <c:majorTickMark val="cross"/>
        <c:minorTickMark val="none"/>
        <c:tickLblPos val="nextTo"/>
        <c:crossAx val="133706880"/>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'3'!$EV$4</c:f>
              <c:strCache>
                <c:ptCount val="1"/>
                <c:pt idx="0">
                  <c:v>0</c:v>
                </c:pt>
              </c:strCache>
            </c:strRef>
          </c:tx>
          <c:spPr>
            <a:solidFill>
              <a:srgbClr val="FF0000"/>
            </a:solidFill>
            <a:ln>
              <a:solidFill>
                <a:srgbClr val="FF0000"/>
              </a:solidFill>
            </a:ln>
          </c:spPr>
          <c:cat>
            <c:strRef>
              <c:f>'3'!$EU$5:$EU$13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'3'!$EV$5:$EV$13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BA46-4BD4-B850-8CD257CF2924}"/>
            </c:ext>
          </c:extLst>
        </c:ser>
        <c:dLbls>
          <c:showLegendKey val="0"/>
          <c:showVal val="0"/>
          <c:showCatName val="0"/>
          <c:showSerName val="0"/>
          <c:showPercent val="0"/>
          <c:showBubbleSize val="0"/>
        </c:dLbls>
        <c:axId val="134380928"/>
        <c:axId val="134386816"/>
      </c:radarChart>
      <c:catAx>
        <c:axId val="134380928"/>
        <c:scaling>
          <c:orientation val="minMax"/>
        </c:scaling>
        <c:delete val="0"/>
        <c:axPos val="b"/>
        <c:majorGridlines/>
        <c:numFmt formatCode="General" sourceLinked="0"/>
        <c:majorTickMark val="out"/>
        <c:minorTickMark val="none"/>
        <c:tickLblPos val="nextTo"/>
        <c:crossAx val="134386816"/>
        <c:crosses val="autoZero"/>
        <c:auto val="1"/>
        <c:lblAlgn val="ctr"/>
        <c:lblOffset val="100"/>
        <c:noMultiLvlLbl val="0"/>
      </c:catAx>
      <c:valAx>
        <c:axId val="134386816"/>
        <c:scaling>
          <c:orientation val="minMax"/>
        </c:scaling>
        <c:delete val="0"/>
        <c:axPos val="l"/>
        <c:majorGridlines/>
        <c:numFmt formatCode="General" sourceLinked="1"/>
        <c:majorTickMark val="cross"/>
        <c:minorTickMark val="none"/>
        <c:tickLblPos val="nextTo"/>
        <c:crossAx val="134380928"/>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'4'!$EV$4</c:f>
              <c:strCache>
                <c:ptCount val="1"/>
                <c:pt idx="0">
                  <c:v>0</c:v>
                </c:pt>
              </c:strCache>
            </c:strRef>
          </c:tx>
          <c:spPr>
            <a:solidFill>
              <a:srgbClr val="008000"/>
            </a:solidFill>
            <a:ln>
              <a:solidFill>
                <a:srgbClr val="008000"/>
              </a:solidFill>
            </a:ln>
          </c:spPr>
          <c:cat>
            <c:strRef>
              <c:f>'4'!$EU$5:$EU$13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'4'!$EV$5:$EV$13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A9AF-4110-91C5-BBCD9622ED1D}"/>
            </c:ext>
          </c:extLst>
        </c:ser>
        <c:dLbls>
          <c:showLegendKey val="0"/>
          <c:showVal val="0"/>
          <c:showCatName val="0"/>
          <c:showSerName val="0"/>
          <c:showPercent val="0"/>
          <c:showBubbleSize val="0"/>
        </c:dLbls>
        <c:axId val="135155712"/>
        <c:axId val="135157248"/>
      </c:radarChart>
      <c:catAx>
        <c:axId val="135155712"/>
        <c:scaling>
          <c:orientation val="minMax"/>
        </c:scaling>
        <c:delete val="0"/>
        <c:axPos val="b"/>
        <c:majorGridlines/>
        <c:numFmt formatCode="General" sourceLinked="0"/>
        <c:majorTickMark val="out"/>
        <c:minorTickMark val="none"/>
        <c:tickLblPos val="nextTo"/>
        <c:crossAx val="135157248"/>
        <c:crosses val="autoZero"/>
        <c:auto val="1"/>
        <c:lblAlgn val="ctr"/>
        <c:lblOffset val="100"/>
        <c:noMultiLvlLbl val="0"/>
      </c:catAx>
      <c:valAx>
        <c:axId val="135157248"/>
        <c:scaling>
          <c:orientation val="minMax"/>
        </c:scaling>
        <c:delete val="0"/>
        <c:axPos val="l"/>
        <c:majorGridlines/>
        <c:numFmt formatCode="General" sourceLinked="1"/>
        <c:majorTickMark val="cross"/>
        <c:minorTickMark val="none"/>
        <c:tickLblPos val="nextTo"/>
        <c:crossAx val="135155712"/>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'5'!$EV$4</c:f>
              <c:strCache>
                <c:ptCount val="1"/>
                <c:pt idx="0">
                  <c:v>0</c:v>
                </c:pt>
              </c:strCache>
            </c:strRef>
          </c:tx>
          <c:spPr>
            <a:solidFill>
              <a:schemeClr val="accent6"/>
            </a:solidFill>
            <a:ln>
              <a:solidFill>
                <a:schemeClr val="accent6"/>
              </a:solidFill>
            </a:ln>
          </c:spPr>
          <c:cat>
            <c:strRef>
              <c:f>'5'!$EU$5:$EU$13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'5'!$EV$5:$EV$13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1BFC-4776-BC1C-F74EF1B9E74C}"/>
            </c:ext>
          </c:extLst>
        </c:ser>
        <c:dLbls>
          <c:showLegendKey val="0"/>
          <c:showVal val="0"/>
          <c:showCatName val="0"/>
          <c:showSerName val="0"/>
          <c:showPercent val="0"/>
          <c:showBubbleSize val="0"/>
        </c:dLbls>
        <c:axId val="136190976"/>
        <c:axId val="136246016"/>
      </c:radarChart>
      <c:catAx>
        <c:axId val="136190976"/>
        <c:scaling>
          <c:orientation val="minMax"/>
        </c:scaling>
        <c:delete val="0"/>
        <c:axPos val="b"/>
        <c:majorGridlines/>
        <c:numFmt formatCode="General" sourceLinked="0"/>
        <c:majorTickMark val="out"/>
        <c:minorTickMark val="none"/>
        <c:tickLblPos val="nextTo"/>
        <c:crossAx val="136246016"/>
        <c:crosses val="autoZero"/>
        <c:auto val="1"/>
        <c:lblAlgn val="ctr"/>
        <c:lblOffset val="100"/>
        <c:noMultiLvlLbl val="0"/>
      </c:catAx>
      <c:valAx>
        <c:axId val="136246016"/>
        <c:scaling>
          <c:orientation val="minMax"/>
        </c:scaling>
        <c:delete val="0"/>
        <c:axPos val="l"/>
        <c:majorGridlines/>
        <c:numFmt formatCode="General" sourceLinked="1"/>
        <c:majorTickMark val="cross"/>
        <c:minorTickMark val="none"/>
        <c:tickLblPos val="nextTo"/>
        <c:crossAx val="136190976"/>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'6'!$EV$4</c:f>
              <c:strCache>
                <c:ptCount val="1"/>
                <c:pt idx="0">
                  <c:v>0</c:v>
                </c:pt>
              </c:strCache>
            </c:strRef>
          </c:tx>
          <c:spPr>
            <a:solidFill>
              <a:srgbClr val="FFC000"/>
            </a:solidFill>
            <a:ln>
              <a:solidFill>
                <a:srgbClr val="FFC000"/>
              </a:solidFill>
            </a:ln>
          </c:spPr>
          <c:cat>
            <c:strRef>
              <c:f>'6'!$EU$5:$EU$13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'6'!$EV$5:$EV$13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FAB1-4D5A-91F1-E8C1B960FA81}"/>
            </c:ext>
          </c:extLst>
        </c:ser>
        <c:dLbls>
          <c:showLegendKey val="0"/>
          <c:showVal val="0"/>
          <c:showCatName val="0"/>
          <c:showSerName val="0"/>
          <c:showPercent val="0"/>
          <c:showBubbleSize val="0"/>
        </c:dLbls>
        <c:axId val="135630848"/>
        <c:axId val="135632384"/>
      </c:radarChart>
      <c:catAx>
        <c:axId val="135630848"/>
        <c:scaling>
          <c:orientation val="minMax"/>
        </c:scaling>
        <c:delete val="0"/>
        <c:axPos val="b"/>
        <c:majorGridlines/>
        <c:numFmt formatCode="General" sourceLinked="0"/>
        <c:majorTickMark val="out"/>
        <c:minorTickMark val="none"/>
        <c:tickLblPos val="nextTo"/>
        <c:crossAx val="135632384"/>
        <c:crosses val="autoZero"/>
        <c:auto val="1"/>
        <c:lblAlgn val="ctr"/>
        <c:lblOffset val="100"/>
        <c:noMultiLvlLbl val="0"/>
      </c:catAx>
      <c:valAx>
        <c:axId val="135632384"/>
        <c:scaling>
          <c:orientation val="minMax"/>
        </c:scaling>
        <c:delete val="0"/>
        <c:axPos val="l"/>
        <c:majorGridlines/>
        <c:numFmt formatCode="General" sourceLinked="1"/>
        <c:majorTickMark val="cross"/>
        <c:minorTickMark val="none"/>
        <c:tickLblPos val="nextTo"/>
        <c:crossAx val="135630848"/>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'7'!$EV$4</c:f>
              <c:strCache>
                <c:ptCount val="1"/>
                <c:pt idx="0">
                  <c:v>0</c:v>
                </c:pt>
              </c:strCache>
            </c:strRef>
          </c:tx>
          <c:spPr>
            <a:solidFill>
              <a:schemeClr val="accent2">
                <a:lumMod val="50000"/>
              </a:schemeClr>
            </a:solidFill>
            <a:ln>
              <a:solidFill>
                <a:schemeClr val="accent2">
                  <a:lumMod val="50000"/>
                </a:schemeClr>
              </a:solidFill>
            </a:ln>
          </c:spPr>
          <c:cat>
            <c:strRef>
              <c:f>'7'!$EU$5:$EU$13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'7'!$EV$5:$EV$13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1149-4359-9C21-BF5139A5070E}"/>
            </c:ext>
          </c:extLst>
        </c:ser>
        <c:dLbls>
          <c:showLegendKey val="0"/>
          <c:showVal val="0"/>
          <c:showCatName val="0"/>
          <c:showSerName val="0"/>
          <c:showPercent val="0"/>
          <c:showBubbleSize val="0"/>
        </c:dLbls>
        <c:axId val="136770304"/>
        <c:axId val="136771840"/>
      </c:radarChart>
      <c:catAx>
        <c:axId val="136770304"/>
        <c:scaling>
          <c:orientation val="minMax"/>
        </c:scaling>
        <c:delete val="0"/>
        <c:axPos val="b"/>
        <c:majorGridlines/>
        <c:numFmt formatCode="General" sourceLinked="0"/>
        <c:majorTickMark val="out"/>
        <c:minorTickMark val="none"/>
        <c:tickLblPos val="nextTo"/>
        <c:crossAx val="136771840"/>
        <c:crosses val="autoZero"/>
        <c:auto val="1"/>
        <c:lblAlgn val="ctr"/>
        <c:lblOffset val="100"/>
        <c:noMultiLvlLbl val="0"/>
      </c:catAx>
      <c:valAx>
        <c:axId val="136771840"/>
        <c:scaling>
          <c:orientation val="minMax"/>
        </c:scaling>
        <c:delete val="0"/>
        <c:axPos val="l"/>
        <c:majorGridlines/>
        <c:numFmt formatCode="General" sourceLinked="1"/>
        <c:majorTickMark val="cross"/>
        <c:minorTickMark val="none"/>
        <c:tickLblPos val="nextTo"/>
        <c:crossAx val="136770304"/>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'8'!$EV$4</c:f>
              <c:strCache>
                <c:ptCount val="1"/>
                <c:pt idx="0">
                  <c:v>0</c:v>
                </c:pt>
              </c:strCache>
            </c:strRef>
          </c:tx>
          <c:spPr>
            <a:solidFill>
              <a:schemeClr val="tx2">
                <a:lumMod val="50000"/>
              </a:schemeClr>
            </a:solidFill>
            <a:ln>
              <a:solidFill>
                <a:schemeClr val="tx2">
                  <a:lumMod val="50000"/>
                </a:schemeClr>
              </a:solidFill>
            </a:ln>
          </c:spPr>
          <c:cat>
            <c:strRef>
              <c:f>'8'!$EU$5:$EU$13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'8'!$EV$5:$EV$13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B2C4-4776-94D2-091C0C3CE3C3}"/>
            </c:ext>
          </c:extLst>
        </c:ser>
        <c:dLbls>
          <c:showLegendKey val="0"/>
          <c:showVal val="0"/>
          <c:showCatName val="0"/>
          <c:showSerName val="0"/>
          <c:showPercent val="0"/>
          <c:showBubbleSize val="0"/>
        </c:dLbls>
        <c:axId val="137463296"/>
        <c:axId val="137464832"/>
      </c:radarChart>
      <c:catAx>
        <c:axId val="137463296"/>
        <c:scaling>
          <c:orientation val="minMax"/>
        </c:scaling>
        <c:delete val="0"/>
        <c:axPos val="b"/>
        <c:majorGridlines/>
        <c:numFmt formatCode="General" sourceLinked="0"/>
        <c:majorTickMark val="out"/>
        <c:minorTickMark val="none"/>
        <c:tickLblPos val="nextTo"/>
        <c:crossAx val="137464832"/>
        <c:crosses val="autoZero"/>
        <c:auto val="1"/>
        <c:lblAlgn val="ctr"/>
        <c:lblOffset val="100"/>
        <c:noMultiLvlLbl val="0"/>
      </c:catAx>
      <c:valAx>
        <c:axId val="137464832"/>
        <c:scaling>
          <c:orientation val="minMax"/>
        </c:scaling>
        <c:delete val="0"/>
        <c:axPos val="l"/>
        <c:majorGridlines/>
        <c:numFmt formatCode="General" sourceLinked="1"/>
        <c:majorTickMark val="cross"/>
        <c:minorTickMark val="none"/>
        <c:tickLblPos val="nextTo"/>
        <c:crossAx val="137463296"/>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tx2"/>
                </a:solidFill>
              </a:defRPr>
            </a:pPr>
            <a:r>
              <a:rPr lang="nl-NL">
                <a:solidFill>
                  <a:schemeClr val="tx2"/>
                </a:solidFill>
              </a:rPr>
              <a:t>Belbin result team</a:t>
            </a:r>
          </a:p>
        </c:rich>
      </c:tx>
      <c:overlay val="0"/>
    </c:title>
    <c:autoTitleDeleted val="0"/>
    <c:plotArea>
      <c:layout/>
      <c:radarChart>
        <c:radarStyle val="marker"/>
        <c:varyColors val="0"/>
        <c:ser>
          <c:idx val="0"/>
          <c:order val="0"/>
          <c:tx>
            <c:strRef>
              <c:f>Graph!$B$1</c:f>
              <c:strCache>
                <c:ptCount val="1"/>
                <c:pt idx="0">
                  <c:v>Mārtiņš</c:v>
                </c:pt>
              </c:strCache>
            </c:strRef>
          </c:tx>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Graph!$B$2:$B$10</c:f>
              <c:numCache>
                <c:formatCode>General</c:formatCode>
                <c:ptCount val="9"/>
                <c:pt idx="0">
                  <c:v>6</c:v>
                </c:pt>
                <c:pt idx="1">
                  <c:v>7</c:v>
                </c:pt>
                <c:pt idx="2">
                  <c:v>12</c:v>
                </c:pt>
                <c:pt idx="3">
                  <c:v>8</c:v>
                </c:pt>
                <c:pt idx="4">
                  <c:v>4</c:v>
                </c:pt>
                <c:pt idx="5">
                  <c:v>8</c:v>
                </c:pt>
                <c:pt idx="6">
                  <c:v>6</c:v>
                </c:pt>
                <c:pt idx="7">
                  <c:v>8</c:v>
                </c:pt>
                <c:pt idx="8">
                  <c:v>11</c:v>
                </c:pt>
              </c:numCache>
            </c:numRef>
          </c:val>
          <c:extLst>
            <c:ext xmlns:c16="http://schemas.microsoft.com/office/drawing/2014/chart" uri="{C3380CC4-5D6E-409C-BE32-E72D297353CC}">
              <c16:uniqueId val="{00000000-E4D8-4235-B937-F82A0EA32482}"/>
            </c:ext>
          </c:extLst>
        </c:ser>
        <c:ser>
          <c:idx val="1"/>
          <c:order val="1"/>
          <c:tx>
            <c:strRef>
              <c:f>Graph!$C$1</c:f>
              <c:strCache>
                <c:ptCount val="1"/>
                <c:pt idx="0">
                  <c:v>2</c:v>
                </c:pt>
              </c:strCache>
            </c:strRef>
          </c:tx>
          <c:spPr>
            <a:ln>
              <a:solidFill>
                <a:schemeClr val="accent3"/>
              </a:solidFill>
            </a:ln>
          </c:spPr>
          <c:marker>
            <c:spPr>
              <a:solidFill>
                <a:schemeClr val="accent3"/>
              </a:solidFill>
              <a:ln>
                <a:solidFill>
                  <a:schemeClr val="accent3"/>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Graph!$C$2:$C$10</c:f>
              <c:numCache>
                <c:formatCode>General</c:formatCode>
                <c:ptCount val="9"/>
                <c:pt idx="0">
                  <c:v>9</c:v>
                </c:pt>
                <c:pt idx="1">
                  <c:v>5</c:v>
                </c:pt>
                <c:pt idx="2">
                  <c:v>14</c:v>
                </c:pt>
                <c:pt idx="3">
                  <c:v>8</c:v>
                </c:pt>
                <c:pt idx="4">
                  <c:v>4</c:v>
                </c:pt>
                <c:pt idx="5">
                  <c:v>5</c:v>
                </c:pt>
                <c:pt idx="6">
                  <c:v>6</c:v>
                </c:pt>
                <c:pt idx="7">
                  <c:v>8</c:v>
                </c:pt>
                <c:pt idx="8">
                  <c:v>11</c:v>
                </c:pt>
              </c:numCache>
            </c:numRef>
          </c:val>
          <c:extLst>
            <c:ext xmlns:c16="http://schemas.microsoft.com/office/drawing/2014/chart" uri="{C3380CC4-5D6E-409C-BE32-E72D297353CC}">
              <c16:uniqueId val="{00000001-E4D8-4235-B937-F82A0EA32482}"/>
            </c:ext>
          </c:extLst>
        </c:ser>
        <c:ser>
          <c:idx val="2"/>
          <c:order val="2"/>
          <c:tx>
            <c:strRef>
              <c:f>Graph!$D$1</c:f>
              <c:strCache>
                <c:ptCount val="1"/>
              </c:strCache>
            </c:strRef>
          </c:tx>
          <c:spPr>
            <a:ln>
              <a:solidFill>
                <a:srgbClr val="FF0000"/>
              </a:solidFill>
            </a:ln>
          </c:spPr>
          <c:marker>
            <c:spPr>
              <a:solidFill>
                <a:srgbClr val="FF0000"/>
              </a:solidFill>
              <a:ln>
                <a:solidFill>
                  <a:srgbClr val="FF0000"/>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Graph!$D$2:$D$10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E4D8-4235-B937-F82A0EA32482}"/>
            </c:ext>
          </c:extLst>
        </c:ser>
        <c:ser>
          <c:idx val="3"/>
          <c:order val="3"/>
          <c:tx>
            <c:strRef>
              <c:f>Graph!$E$1</c:f>
              <c:strCache>
                <c:ptCount val="1"/>
              </c:strCache>
            </c:strRef>
          </c:tx>
          <c:spPr>
            <a:ln>
              <a:solidFill>
                <a:srgbClr val="008000"/>
              </a:solidFill>
            </a:ln>
          </c:spPr>
          <c:marker>
            <c:symbol val="square"/>
            <c:size val="8"/>
            <c:spPr>
              <a:noFill/>
              <a:ln>
                <a:solidFill>
                  <a:srgbClr val="008000"/>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Graph!$E$2:$E$10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E4D8-4235-B937-F82A0EA32482}"/>
            </c:ext>
          </c:extLst>
        </c:ser>
        <c:ser>
          <c:idx val="4"/>
          <c:order val="4"/>
          <c:tx>
            <c:strRef>
              <c:f>Graph!$F$1</c:f>
              <c:strCache>
                <c:ptCount val="1"/>
              </c:strCache>
            </c:strRef>
          </c:tx>
          <c:spPr>
            <a:ln>
              <a:solidFill>
                <a:schemeClr val="accent6"/>
              </a:solidFill>
            </a:ln>
          </c:spPr>
          <c:marker>
            <c:spPr>
              <a:solidFill>
                <a:schemeClr val="accent6"/>
              </a:solidFill>
              <a:ln>
                <a:solidFill>
                  <a:schemeClr val="accent6"/>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Graph!$F$2:$F$10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E4D8-4235-B937-F82A0EA32482}"/>
            </c:ext>
          </c:extLst>
        </c:ser>
        <c:ser>
          <c:idx val="5"/>
          <c:order val="5"/>
          <c:tx>
            <c:strRef>
              <c:f>Graph!$G$1</c:f>
              <c:strCache>
                <c:ptCount val="1"/>
              </c:strCache>
            </c:strRef>
          </c:tx>
          <c:spPr>
            <a:ln>
              <a:solidFill>
                <a:srgbClr val="FFC000"/>
              </a:solidFill>
            </a:ln>
          </c:spPr>
          <c:marker>
            <c:symbol val="circle"/>
            <c:size val="7"/>
            <c:spPr>
              <a:solidFill>
                <a:srgbClr val="FFC000"/>
              </a:solidFill>
              <a:ln>
                <a:solidFill>
                  <a:srgbClr val="FFC000"/>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Graph!$G$2:$G$10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E4D8-4235-B937-F82A0EA32482}"/>
            </c:ext>
          </c:extLst>
        </c:ser>
        <c:ser>
          <c:idx val="6"/>
          <c:order val="6"/>
          <c:tx>
            <c:strRef>
              <c:f>Graph!$H$1</c:f>
              <c:strCache>
                <c:ptCount val="1"/>
              </c:strCache>
            </c:strRef>
          </c:tx>
          <c:spPr>
            <a:ln>
              <a:solidFill>
                <a:schemeClr val="accent2">
                  <a:lumMod val="50000"/>
                </a:schemeClr>
              </a:solidFill>
            </a:ln>
          </c:spPr>
          <c:marker>
            <c:spPr>
              <a:solidFill>
                <a:schemeClr val="accent2">
                  <a:lumMod val="50000"/>
                </a:schemeClr>
              </a:solidFill>
              <a:ln>
                <a:solidFill>
                  <a:schemeClr val="accent2">
                    <a:lumMod val="50000"/>
                  </a:schemeClr>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Graph!$H$2:$H$10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6-E4D8-4235-B937-F82A0EA32482}"/>
            </c:ext>
          </c:extLst>
        </c:ser>
        <c:ser>
          <c:idx val="7"/>
          <c:order val="7"/>
          <c:tx>
            <c:strRef>
              <c:f>Graph!$I$1</c:f>
              <c:strCache>
                <c:ptCount val="1"/>
              </c:strCache>
            </c:strRef>
          </c:tx>
          <c:spPr>
            <a:ln>
              <a:solidFill>
                <a:schemeClr val="tx2">
                  <a:lumMod val="50000"/>
                </a:schemeClr>
              </a:solidFill>
            </a:ln>
          </c:spPr>
          <c:marker>
            <c:symbol val="circle"/>
            <c:size val="8"/>
            <c:spPr>
              <a:noFill/>
              <a:ln>
                <a:solidFill>
                  <a:schemeClr val="tx2">
                    <a:lumMod val="50000"/>
                  </a:schemeClr>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Graph!$I$2:$I$10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7-E4D8-4235-B937-F82A0EA32482}"/>
            </c:ext>
          </c:extLst>
        </c:ser>
        <c:dLbls>
          <c:showLegendKey val="0"/>
          <c:showVal val="0"/>
          <c:showCatName val="0"/>
          <c:showSerName val="0"/>
          <c:showPercent val="0"/>
          <c:showBubbleSize val="0"/>
        </c:dLbls>
        <c:axId val="137986048"/>
        <c:axId val="137987968"/>
      </c:radarChart>
      <c:catAx>
        <c:axId val="137986048"/>
        <c:scaling>
          <c:orientation val="minMax"/>
        </c:scaling>
        <c:delete val="0"/>
        <c:axPos val="b"/>
        <c:majorGridlines/>
        <c:numFmt formatCode="General" sourceLinked="0"/>
        <c:majorTickMark val="out"/>
        <c:minorTickMark val="none"/>
        <c:tickLblPos val="nextTo"/>
        <c:crossAx val="137987968"/>
        <c:crosses val="autoZero"/>
        <c:auto val="1"/>
        <c:lblAlgn val="ctr"/>
        <c:lblOffset val="100"/>
        <c:noMultiLvlLbl val="0"/>
      </c:catAx>
      <c:valAx>
        <c:axId val="137987968"/>
        <c:scaling>
          <c:orientation val="minMax"/>
        </c:scaling>
        <c:delete val="0"/>
        <c:axPos val="l"/>
        <c:majorGridlines/>
        <c:numFmt formatCode="General" sourceLinked="1"/>
        <c:majorTickMark val="cross"/>
        <c:minorTickMark val="none"/>
        <c:tickLblPos val="nextTo"/>
        <c:crossAx val="137986048"/>
        <c:crosses val="autoZero"/>
        <c:crossBetween val="between"/>
      </c:valAx>
      <c:spPr>
        <a:solidFill>
          <a:schemeClr val="bg1"/>
        </a:solidFill>
        <a:ln>
          <a:noFill/>
        </a:ln>
      </c:spPr>
    </c:plotArea>
    <c:legend>
      <c:legendPos val="r"/>
      <c:overlay val="0"/>
    </c:legend>
    <c:plotVisOnly val="1"/>
    <c:dispBlanksAs val="gap"/>
    <c:showDLblsOverMax val="0"/>
  </c:chart>
  <c:spPr>
    <a:solidFill>
      <a:schemeClr val="bg1"/>
    </a:solidFill>
    <a:ln>
      <a:noFill/>
    </a:ln>
  </c:spPr>
  <c:printSettings>
    <c:headerFooter/>
    <c:pageMargins b="0.75" l="0.7" r="0.7" t="0.75" header="0.3" footer="0.3"/>
    <c:pageSetup orientation="portrait"/>
  </c:printSettings>
</c:chartSpace>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1.xml"/><Relationship Id="rId14" Type="http://schemas.openxmlformats.org/officeDocument/2006/relationships/image" Target="../media/image13.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2.xml"/><Relationship Id="rId14"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3.xml"/><Relationship Id="rId14" Type="http://schemas.openxmlformats.org/officeDocument/2006/relationships/image" Target="../media/image13.jpeg"/></Relationships>
</file>

<file path=xl/drawings/_rels/drawing5.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4.xml"/><Relationship Id="rId1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5.xml"/><Relationship Id="rId14" Type="http://schemas.openxmlformats.org/officeDocument/2006/relationships/image" Target="../media/image13.jpeg"/></Relationships>
</file>

<file path=xl/drawings/_rels/drawing7.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6.xml"/><Relationship Id="rId14" Type="http://schemas.openxmlformats.org/officeDocument/2006/relationships/image" Target="../media/image13.jpeg"/></Relationships>
</file>

<file path=xl/drawings/_rels/drawing8.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7.xml"/><Relationship Id="rId14"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8.xml"/><Relationship Id="rId14" Type="http://schemas.openxmlformats.org/officeDocument/2006/relationships/image" Target="../media/image13.jpeg"/></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8" Type="http://schemas.openxmlformats.org/officeDocument/2006/relationships/image" Target="../media/image27.jpeg"/><Relationship Id="rId3" Type="http://schemas.openxmlformats.org/officeDocument/2006/relationships/image" Target="../media/image22.jpeg"/><Relationship Id="rId7" Type="http://schemas.openxmlformats.org/officeDocument/2006/relationships/image" Target="../media/image26.jpeg"/><Relationship Id="rId2" Type="http://schemas.openxmlformats.org/officeDocument/2006/relationships/image" Target="../media/image21.jpeg"/><Relationship Id="rId1" Type="http://schemas.openxmlformats.org/officeDocument/2006/relationships/image" Target="../media/image20.jpeg"/><Relationship Id="rId6" Type="http://schemas.openxmlformats.org/officeDocument/2006/relationships/image" Target="../media/image25.jpeg"/><Relationship Id="rId5" Type="http://schemas.openxmlformats.org/officeDocument/2006/relationships/image" Target="../media/image24.jpeg"/><Relationship Id="rId4" Type="http://schemas.openxmlformats.org/officeDocument/2006/relationships/image" Target="../media/image23.jpeg"/><Relationship Id="rId9" Type="http://schemas.openxmlformats.org/officeDocument/2006/relationships/image" Target="../media/image28.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9.jpeg"/></Relationships>
</file>

<file path=xl/drawings/drawing1.xml><?xml version="1.0" encoding="utf-8"?>
<xdr:wsDr xmlns:xdr="http://schemas.openxmlformats.org/drawingml/2006/spreadsheetDrawing" xmlns:a="http://schemas.openxmlformats.org/drawingml/2006/main">
  <xdr:twoCellAnchor>
    <xdr:from>
      <xdr:col>0</xdr:col>
      <xdr:colOff>295275</xdr:colOff>
      <xdr:row>0</xdr:row>
      <xdr:rowOff>0</xdr:rowOff>
    </xdr:from>
    <xdr:to>
      <xdr:col>1</xdr:col>
      <xdr:colOff>0</xdr:colOff>
      <xdr:row>8</xdr:row>
      <xdr:rowOff>0</xdr:rowOff>
    </xdr:to>
    <xdr:sp macro="" textlink="">
      <xdr:nvSpPr>
        <xdr:cNvPr id="2" name="Rechthoek 1">
          <a:extLst>
            <a:ext uri="{FF2B5EF4-FFF2-40B4-BE49-F238E27FC236}">
              <a16:creationId xmlns:a16="http://schemas.microsoft.com/office/drawing/2014/main" id="{00000000-0008-0000-0000-000002000000}"/>
            </a:ext>
          </a:extLst>
        </xdr:cNvPr>
        <xdr:cNvSpPr/>
      </xdr:nvSpPr>
      <xdr:spPr>
        <a:xfrm>
          <a:off x="295275" y="0"/>
          <a:ext cx="314325" cy="1524000"/>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100"/>
            <a:t>``</a:t>
          </a:r>
        </a:p>
      </xdr:txBody>
    </xdr:sp>
    <xdr:clientData/>
  </xdr:twoCellAnchor>
  <xdr:twoCellAnchor>
    <xdr:from>
      <xdr:col>0</xdr:col>
      <xdr:colOff>1323975</xdr:colOff>
      <xdr:row>0</xdr:row>
      <xdr:rowOff>0</xdr:rowOff>
    </xdr:from>
    <xdr:to>
      <xdr:col>1</xdr:col>
      <xdr:colOff>0</xdr:colOff>
      <xdr:row>8</xdr:row>
      <xdr:rowOff>0</xdr:rowOff>
    </xdr:to>
    <xdr:sp macro="" textlink="">
      <xdr:nvSpPr>
        <xdr:cNvPr id="3" name="Rechthoek 2">
          <a:extLst>
            <a:ext uri="{FF2B5EF4-FFF2-40B4-BE49-F238E27FC236}">
              <a16:creationId xmlns:a16="http://schemas.microsoft.com/office/drawing/2014/main" id="{00000000-0008-0000-0000-000003000000}"/>
            </a:ext>
          </a:extLst>
        </xdr:cNvPr>
        <xdr:cNvSpPr/>
      </xdr:nvSpPr>
      <xdr:spPr>
        <a:xfrm>
          <a:off x="609600" y="0"/>
          <a:ext cx="0" cy="1524000"/>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100"/>
            <a:t>``</a:t>
          </a:r>
        </a:p>
      </xdr:txBody>
    </xdr:sp>
    <xdr:clientData/>
  </xdr:twoCellAnchor>
  <xdr:twoCellAnchor>
    <xdr:from>
      <xdr:col>6</xdr:col>
      <xdr:colOff>125731</xdr:colOff>
      <xdr:row>0</xdr:row>
      <xdr:rowOff>85725</xdr:rowOff>
    </xdr:from>
    <xdr:to>
      <xdr:col>9</xdr:col>
      <xdr:colOff>0</xdr:colOff>
      <xdr:row>0</xdr:row>
      <xdr:rowOff>361950</xdr:rowOff>
    </xdr:to>
    <xdr:sp macro="[0]!Start1" textlink="">
      <xdr:nvSpPr>
        <xdr:cNvPr id="6" name="Vijfhoek 5">
          <a:extLst>
            <a:ext uri="{FF2B5EF4-FFF2-40B4-BE49-F238E27FC236}">
              <a16:creationId xmlns:a16="http://schemas.microsoft.com/office/drawing/2014/main" id="{00000000-0008-0000-0000-000006000000}"/>
            </a:ext>
          </a:extLst>
        </xdr:cNvPr>
        <xdr:cNvSpPr/>
      </xdr:nvSpPr>
      <xdr:spPr>
        <a:xfrm>
          <a:off x="3783331" y="85725"/>
          <a:ext cx="1329689" cy="276225"/>
        </a:xfrm>
        <a:prstGeom prst="homePlate">
          <a:avLst/>
        </a:prstGeom>
        <a:ln>
          <a:solidFill>
            <a:schemeClr val="accent1">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125731</xdr:colOff>
      <xdr:row>1</xdr:row>
      <xdr:rowOff>76200</xdr:rowOff>
    </xdr:from>
    <xdr:to>
      <xdr:col>9</xdr:col>
      <xdr:colOff>0</xdr:colOff>
      <xdr:row>1</xdr:row>
      <xdr:rowOff>352425</xdr:rowOff>
    </xdr:to>
    <xdr:sp macro="[0]!Start2" textlink="">
      <xdr:nvSpPr>
        <xdr:cNvPr id="7" name="Vijfhoek 6">
          <a:extLst>
            <a:ext uri="{FF2B5EF4-FFF2-40B4-BE49-F238E27FC236}">
              <a16:creationId xmlns:a16="http://schemas.microsoft.com/office/drawing/2014/main" id="{00000000-0008-0000-0000-000007000000}"/>
            </a:ext>
          </a:extLst>
        </xdr:cNvPr>
        <xdr:cNvSpPr/>
      </xdr:nvSpPr>
      <xdr:spPr>
        <a:xfrm>
          <a:off x="3783331" y="518160"/>
          <a:ext cx="1329689" cy="276225"/>
        </a:xfrm>
        <a:prstGeom prst="homePlate">
          <a:avLst/>
        </a:prstGeom>
        <a:solidFill>
          <a:schemeClr val="accent3"/>
        </a:solidFill>
        <a:ln>
          <a:solidFill>
            <a:schemeClr val="accent2">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tx2">
                  <a:lumMod val="50000"/>
                </a:schemeClr>
              </a:solidFill>
            </a:rPr>
            <a:t>Start Belbin</a:t>
          </a:r>
          <a:r>
            <a:rPr lang="nl-NL" sz="1100" baseline="0">
              <a:solidFill>
                <a:schemeClr val="tx2">
                  <a:lumMod val="50000"/>
                </a:schemeClr>
              </a:solidFill>
            </a:rPr>
            <a:t> test</a:t>
          </a:r>
          <a:endParaRPr lang="nl-NL" sz="1100">
            <a:solidFill>
              <a:schemeClr val="tx2">
                <a:lumMod val="50000"/>
              </a:schemeClr>
            </a:solidFill>
          </a:endParaRPr>
        </a:p>
      </xdr:txBody>
    </xdr:sp>
    <xdr:clientData fPrintsWithSheet="0"/>
  </xdr:twoCellAnchor>
  <xdr:twoCellAnchor>
    <xdr:from>
      <xdr:col>6</xdr:col>
      <xdr:colOff>125731</xdr:colOff>
      <xdr:row>2</xdr:row>
      <xdr:rowOff>95250</xdr:rowOff>
    </xdr:from>
    <xdr:to>
      <xdr:col>9</xdr:col>
      <xdr:colOff>0</xdr:colOff>
      <xdr:row>2</xdr:row>
      <xdr:rowOff>371475</xdr:rowOff>
    </xdr:to>
    <xdr:sp macro="[0]!Start3" textlink="">
      <xdr:nvSpPr>
        <xdr:cNvPr id="8" name="Vijfhoek 7">
          <a:extLst>
            <a:ext uri="{FF2B5EF4-FFF2-40B4-BE49-F238E27FC236}">
              <a16:creationId xmlns:a16="http://schemas.microsoft.com/office/drawing/2014/main" id="{00000000-0008-0000-0000-000008000000}"/>
            </a:ext>
          </a:extLst>
        </xdr:cNvPr>
        <xdr:cNvSpPr/>
      </xdr:nvSpPr>
      <xdr:spPr>
        <a:xfrm>
          <a:off x="3783331" y="979170"/>
          <a:ext cx="1329689" cy="276225"/>
        </a:xfrm>
        <a:prstGeom prst="homePlate">
          <a:avLst/>
        </a:prstGeom>
        <a:solidFill>
          <a:srgbClr val="FF0000"/>
        </a:solidFill>
        <a:ln>
          <a:solidFill>
            <a:srgbClr val="FF5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a:t>
          </a:r>
          <a:r>
            <a:rPr lang="nl-NL" sz="1100">
              <a:solidFill>
                <a:schemeClr val="tx2">
                  <a:lumMod val="50000"/>
                </a:schemeClr>
              </a:solidFill>
            </a:rPr>
            <a:t> </a:t>
          </a:r>
          <a:r>
            <a:rPr lang="nl-NL" sz="1100">
              <a:solidFill>
                <a:schemeClr val="bg1"/>
              </a:solidFill>
            </a:rPr>
            <a:t>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125731</xdr:colOff>
      <xdr:row>3</xdr:row>
      <xdr:rowOff>85725</xdr:rowOff>
    </xdr:from>
    <xdr:to>
      <xdr:col>9</xdr:col>
      <xdr:colOff>0</xdr:colOff>
      <xdr:row>3</xdr:row>
      <xdr:rowOff>361950</xdr:rowOff>
    </xdr:to>
    <xdr:sp macro="[0]!Start4" textlink="">
      <xdr:nvSpPr>
        <xdr:cNvPr id="9" name="Vijfhoek 8">
          <a:extLst>
            <a:ext uri="{FF2B5EF4-FFF2-40B4-BE49-F238E27FC236}">
              <a16:creationId xmlns:a16="http://schemas.microsoft.com/office/drawing/2014/main" id="{00000000-0008-0000-0000-000009000000}"/>
            </a:ext>
          </a:extLst>
        </xdr:cNvPr>
        <xdr:cNvSpPr/>
      </xdr:nvSpPr>
      <xdr:spPr>
        <a:xfrm>
          <a:off x="3783331" y="1411605"/>
          <a:ext cx="1329689" cy="276225"/>
        </a:xfrm>
        <a:prstGeom prst="homePlate">
          <a:avLst/>
        </a:prstGeom>
        <a:solidFill>
          <a:srgbClr val="008000"/>
        </a:solidFill>
        <a:ln>
          <a:solidFill>
            <a:schemeClr val="accent5">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125731</xdr:colOff>
      <xdr:row>4</xdr:row>
      <xdr:rowOff>85725</xdr:rowOff>
    </xdr:from>
    <xdr:to>
      <xdr:col>9</xdr:col>
      <xdr:colOff>0</xdr:colOff>
      <xdr:row>4</xdr:row>
      <xdr:rowOff>361950</xdr:rowOff>
    </xdr:to>
    <xdr:sp macro="[0]!Start5" textlink="">
      <xdr:nvSpPr>
        <xdr:cNvPr id="10" name="Vijfhoek 9">
          <a:extLst>
            <a:ext uri="{FF2B5EF4-FFF2-40B4-BE49-F238E27FC236}">
              <a16:creationId xmlns:a16="http://schemas.microsoft.com/office/drawing/2014/main" id="{00000000-0008-0000-0000-00000A000000}"/>
            </a:ext>
          </a:extLst>
        </xdr:cNvPr>
        <xdr:cNvSpPr/>
      </xdr:nvSpPr>
      <xdr:spPr>
        <a:xfrm>
          <a:off x="3783331" y="1853565"/>
          <a:ext cx="1329689" cy="276225"/>
        </a:xfrm>
        <a:prstGeom prst="homePlate">
          <a:avLst/>
        </a:prstGeom>
        <a:solidFill>
          <a:schemeClr val="accent6"/>
        </a:solidFill>
        <a:ln>
          <a:solidFill>
            <a:schemeClr val="accent6">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tx2">
                  <a:lumMod val="50000"/>
                </a:schemeClr>
              </a:solidFill>
            </a:rPr>
            <a:t>Start</a:t>
          </a:r>
          <a:r>
            <a:rPr lang="nl-NL" sz="1100"/>
            <a:t> </a:t>
          </a:r>
          <a:r>
            <a:rPr lang="nl-NL" sz="1100">
              <a:solidFill>
                <a:schemeClr val="tx2">
                  <a:lumMod val="50000"/>
                </a:schemeClr>
              </a:solidFill>
            </a:rPr>
            <a:t>Belbin</a:t>
          </a:r>
          <a:r>
            <a:rPr lang="nl-NL" sz="1100" baseline="0">
              <a:solidFill>
                <a:schemeClr val="tx2">
                  <a:lumMod val="50000"/>
                </a:schemeClr>
              </a:solidFill>
            </a:rPr>
            <a:t> test</a:t>
          </a:r>
          <a:endParaRPr lang="nl-NL" sz="1100">
            <a:solidFill>
              <a:schemeClr val="tx2">
                <a:lumMod val="50000"/>
              </a:schemeClr>
            </a:solidFill>
          </a:endParaRPr>
        </a:p>
      </xdr:txBody>
    </xdr:sp>
    <xdr:clientData fPrintsWithSheet="0"/>
  </xdr:twoCellAnchor>
  <xdr:twoCellAnchor>
    <xdr:from>
      <xdr:col>6</xdr:col>
      <xdr:colOff>125731</xdr:colOff>
      <xdr:row>5</xdr:row>
      <xdr:rowOff>76200</xdr:rowOff>
    </xdr:from>
    <xdr:to>
      <xdr:col>9</xdr:col>
      <xdr:colOff>0</xdr:colOff>
      <xdr:row>5</xdr:row>
      <xdr:rowOff>352425</xdr:rowOff>
    </xdr:to>
    <xdr:sp macro="[0]!Start6" textlink="">
      <xdr:nvSpPr>
        <xdr:cNvPr id="11" name="Vijfhoek 10">
          <a:extLst>
            <a:ext uri="{FF2B5EF4-FFF2-40B4-BE49-F238E27FC236}">
              <a16:creationId xmlns:a16="http://schemas.microsoft.com/office/drawing/2014/main" id="{00000000-0008-0000-0000-00000B000000}"/>
            </a:ext>
          </a:extLst>
        </xdr:cNvPr>
        <xdr:cNvSpPr/>
      </xdr:nvSpPr>
      <xdr:spPr>
        <a:xfrm>
          <a:off x="3783331" y="2286000"/>
          <a:ext cx="1329689" cy="276225"/>
        </a:xfrm>
        <a:prstGeom prst="homePlate">
          <a:avLst/>
        </a:prstGeom>
        <a:solidFill>
          <a:srgbClr val="FFC000"/>
        </a:solidFill>
        <a:ln>
          <a:solidFill>
            <a:srgbClr val="FFFF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tx2">
                  <a:lumMod val="50000"/>
                </a:schemeClr>
              </a:solidFill>
            </a:rPr>
            <a:t>Start</a:t>
          </a:r>
          <a:r>
            <a:rPr lang="nl-NL" sz="1100">
              <a:solidFill>
                <a:sysClr val="windowText" lastClr="000000"/>
              </a:solidFill>
            </a:rPr>
            <a:t> </a:t>
          </a:r>
          <a:r>
            <a:rPr lang="nl-NL" sz="1100">
              <a:solidFill>
                <a:schemeClr val="tx2">
                  <a:lumMod val="50000"/>
                </a:schemeClr>
              </a:solidFill>
            </a:rPr>
            <a:t>Belbin</a:t>
          </a:r>
          <a:r>
            <a:rPr lang="nl-NL" sz="1100" baseline="0">
              <a:solidFill>
                <a:schemeClr val="tx2">
                  <a:lumMod val="50000"/>
                </a:schemeClr>
              </a:solidFill>
            </a:rPr>
            <a:t> test</a:t>
          </a:r>
          <a:endParaRPr lang="nl-NL" sz="1100">
            <a:solidFill>
              <a:schemeClr val="tx2">
                <a:lumMod val="50000"/>
              </a:schemeClr>
            </a:solidFill>
          </a:endParaRPr>
        </a:p>
      </xdr:txBody>
    </xdr:sp>
    <xdr:clientData fPrintsWithSheet="0"/>
  </xdr:twoCellAnchor>
  <xdr:twoCellAnchor>
    <xdr:from>
      <xdr:col>6</xdr:col>
      <xdr:colOff>123826</xdr:colOff>
      <xdr:row>7</xdr:row>
      <xdr:rowOff>72390</xdr:rowOff>
    </xdr:from>
    <xdr:to>
      <xdr:col>8</xdr:col>
      <xdr:colOff>234315</xdr:colOff>
      <xdr:row>7</xdr:row>
      <xdr:rowOff>348615</xdr:rowOff>
    </xdr:to>
    <xdr:sp macro="[0]!Start8" textlink="">
      <xdr:nvSpPr>
        <xdr:cNvPr id="12" name="Vijfhoek 11">
          <a:extLst>
            <a:ext uri="{FF2B5EF4-FFF2-40B4-BE49-F238E27FC236}">
              <a16:creationId xmlns:a16="http://schemas.microsoft.com/office/drawing/2014/main" id="{00000000-0008-0000-0000-00000C000000}"/>
            </a:ext>
          </a:extLst>
        </xdr:cNvPr>
        <xdr:cNvSpPr/>
      </xdr:nvSpPr>
      <xdr:spPr>
        <a:xfrm>
          <a:off x="3781426" y="3166110"/>
          <a:ext cx="1329689" cy="276225"/>
        </a:xfrm>
        <a:prstGeom prst="homePlate">
          <a:avLst/>
        </a:prstGeom>
        <a:solidFill>
          <a:schemeClr val="tx2">
            <a:lumMod val="50000"/>
          </a:schemeClr>
        </a:solidFill>
        <a:ln>
          <a:solidFill>
            <a:schemeClr val="bg1">
              <a:lumMod val="8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114300</xdr:colOff>
      <xdr:row>6</xdr:row>
      <xdr:rowOff>74295</xdr:rowOff>
    </xdr:from>
    <xdr:to>
      <xdr:col>8</xdr:col>
      <xdr:colOff>224789</xdr:colOff>
      <xdr:row>6</xdr:row>
      <xdr:rowOff>350520</xdr:rowOff>
    </xdr:to>
    <xdr:sp macro="[0]!Start7" textlink="">
      <xdr:nvSpPr>
        <xdr:cNvPr id="13" name="Vijfhoek 12">
          <a:extLst>
            <a:ext uri="{FF2B5EF4-FFF2-40B4-BE49-F238E27FC236}">
              <a16:creationId xmlns:a16="http://schemas.microsoft.com/office/drawing/2014/main" id="{00000000-0008-0000-0000-00000D000000}"/>
            </a:ext>
          </a:extLst>
        </xdr:cNvPr>
        <xdr:cNvSpPr/>
      </xdr:nvSpPr>
      <xdr:spPr>
        <a:xfrm>
          <a:off x="3771900" y="2726055"/>
          <a:ext cx="1329689" cy="276225"/>
        </a:xfrm>
        <a:prstGeom prst="homePlate">
          <a:avLst/>
        </a:prstGeom>
        <a:solidFill>
          <a:schemeClr val="accent2">
            <a:lumMod val="50000"/>
          </a:schemeClr>
        </a:solidFill>
        <a:ln>
          <a:solidFill>
            <a:schemeClr val="bg1">
              <a:lumMod val="8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oneCellAnchor>
    <xdr:from>
      <xdr:col>5</xdr:col>
      <xdr:colOff>3</xdr:colOff>
      <xdr:row>0</xdr:row>
      <xdr:rowOff>0</xdr:rowOff>
    </xdr:from>
    <xdr:ext cx="276225" cy="3535680"/>
    <xdr:sp macro="" textlink="">
      <xdr:nvSpPr>
        <xdr:cNvPr id="14" name="Tekstvak 13">
          <a:extLst>
            <a:ext uri="{FF2B5EF4-FFF2-40B4-BE49-F238E27FC236}">
              <a16:creationId xmlns:a16="http://schemas.microsoft.com/office/drawing/2014/main" id="{00000000-0008-0000-0000-00000E000000}"/>
            </a:ext>
          </a:extLst>
        </xdr:cNvPr>
        <xdr:cNvSpPr txBox="1"/>
      </xdr:nvSpPr>
      <xdr:spPr>
        <a:xfrm rot="16200000">
          <a:off x="1418276" y="1629727"/>
          <a:ext cx="3535680" cy="276225"/>
        </a:xfrm>
        <a:prstGeom prst="rect">
          <a:avLst/>
        </a:prstGeom>
        <a:solidFill>
          <a:schemeClr val="bg1">
            <a:lumMod val="85000"/>
          </a:schemeClr>
        </a:solidFill>
        <a:ln>
          <a:solidFill>
            <a:schemeClr val="tx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nl-NL" sz="1000" b="0">
              <a:solidFill>
                <a:schemeClr val="tx2"/>
              </a:solidFill>
            </a:rPr>
            <a:t>Belbin test  completed?</a:t>
          </a:r>
        </a:p>
      </xdr:txBody>
    </xdr:sp>
    <xdr:clientData/>
  </xdr:oneCellAnchor>
  <xdr:twoCellAnchor>
    <xdr:from>
      <xdr:col>15</xdr:col>
      <xdr:colOff>129540</xdr:colOff>
      <xdr:row>2</xdr:row>
      <xdr:rowOff>0</xdr:rowOff>
    </xdr:from>
    <xdr:to>
      <xdr:col>17</xdr:col>
      <xdr:colOff>0</xdr:colOff>
      <xdr:row>2</xdr:row>
      <xdr:rowOff>297180</xdr:rowOff>
    </xdr:to>
    <xdr:sp macro="[0]!To_Total" textlink="">
      <xdr:nvSpPr>
        <xdr:cNvPr id="15" name="Afgeronde rechthoek 14">
          <a:extLst>
            <a:ext uri="{FF2B5EF4-FFF2-40B4-BE49-F238E27FC236}">
              <a16:creationId xmlns:a16="http://schemas.microsoft.com/office/drawing/2014/main" id="{00000000-0008-0000-0000-00000F000000}"/>
            </a:ext>
          </a:extLst>
        </xdr:cNvPr>
        <xdr:cNvSpPr/>
      </xdr:nvSpPr>
      <xdr:spPr>
        <a:xfrm>
          <a:off x="8900160" y="883920"/>
          <a:ext cx="1089660" cy="29718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100">
              <a:sym typeface="Webdings"/>
            </a:rPr>
            <a:t>To</a:t>
          </a:r>
          <a:r>
            <a:rPr lang="nl-NL" sz="1100" baseline="0">
              <a:sym typeface="Webdings"/>
            </a:rPr>
            <a:t> team score</a:t>
          </a:r>
          <a:endParaRPr lang="nl-NL" sz="900"/>
        </a:p>
      </xdr:txBody>
    </xdr:sp>
    <xdr:clientData fPrintsWithSheet="0"/>
  </xdr:twoCellAnchor>
  <xdr:twoCellAnchor>
    <xdr:from>
      <xdr:col>15</xdr:col>
      <xdr:colOff>129540</xdr:colOff>
      <xdr:row>2</xdr:row>
      <xdr:rowOff>411480</xdr:rowOff>
    </xdr:from>
    <xdr:to>
      <xdr:col>17</xdr:col>
      <xdr:colOff>0</xdr:colOff>
      <xdr:row>4</xdr:row>
      <xdr:rowOff>53340</xdr:rowOff>
    </xdr:to>
    <xdr:sp macro="[0]!ToRolesTotal" textlink="">
      <xdr:nvSpPr>
        <xdr:cNvPr id="16" name="Afgeronde rechthoek 15">
          <a:extLst>
            <a:ext uri="{FF2B5EF4-FFF2-40B4-BE49-F238E27FC236}">
              <a16:creationId xmlns:a16="http://schemas.microsoft.com/office/drawing/2014/main" id="{00000000-0008-0000-0000-000010000000}"/>
            </a:ext>
          </a:extLst>
        </xdr:cNvPr>
        <xdr:cNvSpPr/>
      </xdr:nvSpPr>
      <xdr:spPr>
        <a:xfrm>
          <a:off x="8900160" y="1295400"/>
          <a:ext cx="1089660" cy="52578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100">
              <a:sym typeface="Webdings"/>
            </a:rPr>
            <a:t>Belbin</a:t>
          </a:r>
          <a:r>
            <a:rPr lang="nl-NL" sz="1100" baseline="0">
              <a:sym typeface="Webdings"/>
            </a:rPr>
            <a:t> role definitions</a:t>
          </a:r>
          <a:endParaRPr lang="nl-NL" sz="900"/>
        </a:p>
      </xdr:txBody>
    </xdr:sp>
    <xdr:clientData fPrintsWithSheet="0"/>
  </xdr:twoCellAnchor>
  <xdr:twoCellAnchor>
    <xdr:from>
      <xdr:col>15</xdr:col>
      <xdr:colOff>129540</xdr:colOff>
      <xdr:row>4</xdr:row>
      <xdr:rowOff>167640</xdr:rowOff>
    </xdr:from>
    <xdr:to>
      <xdr:col>17</xdr:col>
      <xdr:colOff>0</xdr:colOff>
      <xdr:row>5</xdr:row>
      <xdr:rowOff>22860</xdr:rowOff>
    </xdr:to>
    <xdr:sp macro="[0]!reset_score" textlink="">
      <xdr:nvSpPr>
        <xdr:cNvPr id="17" name="Afgeronde rechthoek 16">
          <a:extLst>
            <a:ext uri="{FF2B5EF4-FFF2-40B4-BE49-F238E27FC236}">
              <a16:creationId xmlns:a16="http://schemas.microsoft.com/office/drawing/2014/main" id="{00000000-0008-0000-0000-000011000000}"/>
            </a:ext>
          </a:extLst>
        </xdr:cNvPr>
        <xdr:cNvSpPr/>
      </xdr:nvSpPr>
      <xdr:spPr>
        <a:xfrm>
          <a:off x="8900160" y="1935480"/>
          <a:ext cx="1089660" cy="297180"/>
        </a:xfrm>
        <a:prstGeom prst="roundRect">
          <a:avLst/>
        </a:prstGeom>
        <a:solidFill>
          <a:srgbClr val="C0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a:sym typeface="Webdings"/>
            </a:rPr>
            <a:t>reset</a:t>
          </a:r>
          <a:r>
            <a:rPr lang="nl-NL" sz="1100" baseline="0">
              <a:sym typeface="Webdings"/>
            </a:rPr>
            <a:t> scores</a:t>
          </a:r>
          <a:endParaRPr lang="nl-NL" sz="900"/>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1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1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1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1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1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1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1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1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1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1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1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1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1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1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1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1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21</xdr:row>
      <xdr:rowOff>430</xdr:rowOff>
    </xdr:to>
    <xdr:pic>
      <xdr:nvPicPr>
        <xdr:cNvPr id="28" name="Afbeelding 27" descr="PL">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21</xdr:row>
      <xdr:rowOff>430</xdr:rowOff>
    </xdr:to>
    <xdr:pic>
      <xdr:nvPicPr>
        <xdr:cNvPr id="29" name="Afbeelding 28" descr="RI">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21</xdr:row>
      <xdr:rowOff>430</xdr:rowOff>
    </xdr:to>
    <xdr:pic>
      <xdr:nvPicPr>
        <xdr:cNvPr id="30" name="Afbeelding 29" descr="CO">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21</xdr:row>
      <xdr:rowOff>430</xdr:rowOff>
    </xdr:to>
    <xdr:pic>
      <xdr:nvPicPr>
        <xdr:cNvPr id="31" name="Afbeelding 30" descr="SH">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21</xdr:row>
      <xdr:rowOff>430</xdr:rowOff>
    </xdr:to>
    <xdr:pic>
      <xdr:nvPicPr>
        <xdr:cNvPr id="32" name="Afbeelding 31" descr="ME">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21</xdr:row>
      <xdr:rowOff>430</xdr:rowOff>
    </xdr:to>
    <xdr:pic>
      <xdr:nvPicPr>
        <xdr:cNvPr id="33" name="Afbeelding 32" descr="TW">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21</xdr:row>
      <xdr:rowOff>430</xdr:rowOff>
    </xdr:to>
    <xdr:pic>
      <xdr:nvPicPr>
        <xdr:cNvPr id="34" name="Afbeelding 33" descr="IMP">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21</xdr:row>
      <xdr:rowOff>430</xdr:rowOff>
    </xdr:to>
    <xdr:pic>
      <xdr:nvPicPr>
        <xdr:cNvPr id="35" name="Afbeelding 34" descr="CF">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21</xdr:row>
      <xdr:rowOff>430</xdr:rowOff>
    </xdr:to>
    <xdr:pic>
      <xdr:nvPicPr>
        <xdr:cNvPr id="36" name="Afbeelding 35" descr="SP">
          <a:extLst>
            <a:ext uri="{FF2B5EF4-FFF2-40B4-BE49-F238E27FC236}">
              <a16:creationId xmlns:a16="http://schemas.microsoft.com/office/drawing/2014/main" id="{00000000-0008-0000-01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466166</xdr:colOff>
      <xdr:row>20</xdr:row>
      <xdr:rowOff>0</xdr:rowOff>
    </xdr:from>
    <xdr:to>
      <xdr:col>7</xdr:col>
      <xdr:colOff>502024</xdr:colOff>
      <xdr:row>22</xdr:row>
      <xdr:rowOff>2118</xdr:rowOff>
    </xdr:to>
    <xdr:sp macro="[0]!ToStart" textlink="">
      <xdr:nvSpPr>
        <xdr:cNvPr id="38" name="Afgeronde rechthoek 37">
          <a:extLst>
            <a:ext uri="{FF2B5EF4-FFF2-40B4-BE49-F238E27FC236}">
              <a16:creationId xmlns:a16="http://schemas.microsoft.com/office/drawing/2014/main" id="{00000000-0008-0000-0100-000026000000}"/>
            </a:ext>
          </a:extLst>
        </xdr:cNvPr>
        <xdr:cNvSpPr/>
      </xdr:nvSpPr>
      <xdr:spPr>
        <a:xfrm>
          <a:off x="6544237" y="4849906"/>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2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2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2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2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2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2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2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2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2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2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2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2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2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2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2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2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21</xdr:row>
      <xdr:rowOff>5846</xdr:rowOff>
    </xdr:to>
    <xdr:pic>
      <xdr:nvPicPr>
        <xdr:cNvPr id="28" name="Afbeelding 27" descr="PL">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21</xdr:row>
      <xdr:rowOff>5846</xdr:rowOff>
    </xdr:to>
    <xdr:pic>
      <xdr:nvPicPr>
        <xdr:cNvPr id="29" name="Afbeelding 28" descr="RI">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21</xdr:row>
      <xdr:rowOff>5846</xdr:rowOff>
    </xdr:to>
    <xdr:pic>
      <xdr:nvPicPr>
        <xdr:cNvPr id="30" name="Afbeelding 29" descr="CO">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21</xdr:row>
      <xdr:rowOff>5846</xdr:rowOff>
    </xdr:to>
    <xdr:pic>
      <xdr:nvPicPr>
        <xdr:cNvPr id="31" name="Afbeelding 30" descr="SH">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21</xdr:row>
      <xdr:rowOff>5846</xdr:rowOff>
    </xdr:to>
    <xdr:pic>
      <xdr:nvPicPr>
        <xdr:cNvPr id="32" name="Afbeelding 31" descr="ME">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21</xdr:row>
      <xdr:rowOff>5846</xdr:rowOff>
    </xdr:to>
    <xdr:pic>
      <xdr:nvPicPr>
        <xdr:cNvPr id="33" name="Afbeelding 32" descr="TW">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21</xdr:row>
      <xdr:rowOff>5846</xdr:rowOff>
    </xdr:to>
    <xdr:pic>
      <xdr:nvPicPr>
        <xdr:cNvPr id="34" name="Afbeelding 33" descr="IMP">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21</xdr:row>
      <xdr:rowOff>5846</xdr:rowOff>
    </xdr:to>
    <xdr:pic>
      <xdr:nvPicPr>
        <xdr:cNvPr id="35" name="Afbeelding 34" descr="CF">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21</xdr:row>
      <xdr:rowOff>5846</xdr:rowOff>
    </xdr:to>
    <xdr:pic>
      <xdr:nvPicPr>
        <xdr:cNvPr id="36" name="Afbeelding 35" descr="SP">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546844</xdr:colOff>
      <xdr:row>20</xdr:row>
      <xdr:rowOff>0</xdr:rowOff>
    </xdr:from>
    <xdr:to>
      <xdr:col>7</xdr:col>
      <xdr:colOff>582702</xdr:colOff>
      <xdr:row>22</xdr:row>
      <xdr:rowOff>2118</xdr:rowOff>
    </xdr:to>
    <xdr:sp macro="[0]!ToStart" textlink="">
      <xdr:nvSpPr>
        <xdr:cNvPr id="37" name="Afgeronde rechthoek 36">
          <a:extLst>
            <a:ext uri="{FF2B5EF4-FFF2-40B4-BE49-F238E27FC236}">
              <a16:creationId xmlns:a16="http://schemas.microsoft.com/office/drawing/2014/main" id="{00000000-0008-0000-0200-000025000000}"/>
            </a:ext>
          </a:extLst>
        </xdr:cNvPr>
        <xdr:cNvSpPr/>
      </xdr:nvSpPr>
      <xdr:spPr>
        <a:xfrm>
          <a:off x="6624915" y="4849906"/>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3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3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3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3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3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3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3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3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3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3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3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3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3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3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3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3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3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3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3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3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3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3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3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3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0</xdr:rowOff>
    </xdr:from>
    <xdr:to>
      <xdr:col>7</xdr:col>
      <xdr:colOff>573737</xdr:colOff>
      <xdr:row>22</xdr:row>
      <xdr:rowOff>2118</xdr:rowOff>
    </xdr:to>
    <xdr:sp macro="[0]!ToStart" textlink="">
      <xdr:nvSpPr>
        <xdr:cNvPr id="37" name="Afgeronde rechthoek 36">
          <a:extLst>
            <a:ext uri="{FF2B5EF4-FFF2-40B4-BE49-F238E27FC236}">
              <a16:creationId xmlns:a16="http://schemas.microsoft.com/office/drawing/2014/main" id="{00000000-0008-0000-0300-000025000000}"/>
            </a:ext>
          </a:extLst>
        </xdr:cNvPr>
        <xdr:cNvSpPr/>
      </xdr:nvSpPr>
      <xdr:spPr>
        <a:xfrm>
          <a:off x="6615950" y="4849906"/>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4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4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4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4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4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4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4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4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4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4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4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4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4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4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4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4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4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4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4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4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4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4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546844</xdr:colOff>
      <xdr:row>20</xdr:row>
      <xdr:rowOff>8965</xdr:rowOff>
    </xdr:from>
    <xdr:to>
      <xdr:col>7</xdr:col>
      <xdr:colOff>582702</xdr:colOff>
      <xdr:row>22</xdr:row>
      <xdr:rowOff>11083</xdr:rowOff>
    </xdr:to>
    <xdr:sp macro="[0]!ToStart" textlink="">
      <xdr:nvSpPr>
        <xdr:cNvPr id="37" name="Afgeronde rechthoek 36">
          <a:extLst>
            <a:ext uri="{FF2B5EF4-FFF2-40B4-BE49-F238E27FC236}">
              <a16:creationId xmlns:a16="http://schemas.microsoft.com/office/drawing/2014/main" id="{00000000-0008-0000-0400-000025000000}"/>
            </a:ext>
          </a:extLst>
        </xdr:cNvPr>
        <xdr:cNvSpPr/>
      </xdr:nvSpPr>
      <xdr:spPr>
        <a:xfrm>
          <a:off x="6624915"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5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5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5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5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5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5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5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5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5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5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5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5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5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5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5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5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8965</xdr:rowOff>
    </xdr:from>
    <xdr:to>
      <xdr:col>7</xdr:col>
      <xdr:colOff>573737</xdr:colOff>
      <xdr:row>22</xdr:row>
      <xdr:rowOff>11083</xdr:rowOff>
    </xdr:to>
    <xdr:sp macro="[0]!ToStart" textlink="">
      <xdr:nvSpPr>
        <xdr:cNvPr id="37" name="Afgeronde rechthoek 36">
          <a:extLst>
            <a:ext uri="{FF2B5EF4-FFF2-40B4-BE49-F238E27FC236}">
              <a16:creationId xmlns:a16="http://schemas.microsoft.com/office/drawing/2014/main" id="{00000000-0008-0000-0500-000025000000}"/>
            </a:ext>
          </a:extLst>
        </xdr:cNvPr>
        <xdr:cNvSpPr/>
      </xdr:nvSpPr>
      <xdr:spPr>
        <a:xfrm>
          <a:off x="6615950"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6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6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6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6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6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6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6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6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6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6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6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6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6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6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6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6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6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6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6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6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6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6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8965</xdr:rowOff>
    </xdr:from>
    <xdr:to>
      <xdr:col>7</xdr:col>
      <xdr:colOff>573737</xdr:colOff>
      <xdr:row>22</xdr:row>
      <xdr:rowOff>11083</xdr:rowOff>
    </xdr:to>
    <xdr:sp macro="[0]!ToStart" textlink="">
      <xdr:nvSpPr>
        <xdr:cNvPr id="37" name="Afgeronde rechthoek 36">
          <a:extLst>
            <a:ext uri="{FF2B5EF4-FFF2-40B4-BE49-F238E27FC236}">
              <a16:creationId xmlns:a16="http://schemas.microsoft.com/office/drawing/2014/main" id="{00000000-0008-0000-0600-000025000000}"/>
            </a:ext>
          </a:extLst>
        </xdr:cNvPr>
        <xdr:cNvSpPr/>
      </xdr:nvSpPr>
      <xdr:spPr>
        <a:xfrm>
          <a:off x="6615950"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700-000002000000}"/>
            </a:ext>
          </a:extLst>
        </xdr:cNvPr>
        <xdr:cNvSpPr/>
      </xdr:nvSpPr>
      <xdr:spPr>
        <a:xfrm>
          <a:off x="21564600" y="4770120"/>
          <a:ext cx="1217295"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700-000003000000}"/>
            </a:ext>
          </a:extLst>
        </xdr:cNvPr>
        <xdr:cNvSpPr/>
      </xdr:nvSpPr>
      <xdr:spPr>
        <a:xfrm>
          <a:off x="353949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700-000004000000}"/>
            </a:ext>
          </a:extLst>
        </xdr:cNvPr>
        <xdr:cNvSpPr/>
      </xdr:nvSpPr>
      <xdr:spPr>
        <a:xfrm flipH="1">
          <a:off x="341757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700-000005000000}"/>
            </a:ext>
          </a:extLst>
        </xdr:cNvPr>
        <xdr:cNvSpPr/>
      </xdr:nvSpPr>
      <xdr:spPr>
        <a:xfrm flipH="1">
          <a:off x="20345400" y="477012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700-000006000000}"/>
            </a:ext>
          </a:extLst>
        </xdr:cNvPr>
        <xdr:cNvSpPr/>
      </xdr:nvSpPr>
      <xdr:spPr>
        <a:xfrm flipH="1">
          <a:off x="480060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700-000007000000}"/>
            </a:ext>
          </a:extLst>
        </xdr:cNvPr>
        <xdr:cNvSpPr/>
      </xdr:nvSpPr>
      <xdr:spPr>
        <a:xfrm>
          <a:off x="63053595" y="4781550"/>
          <a:ext cx="1221105"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700-000008000000}"/>
            </a:ext>
          </a:extLst>
        </xdr:cNvPr>
        <xdr:cNvSpPr/>
      </xdr:nvSpPr>
      <xdr:spPr>
        <a:xfrm>
          <a:off x="76885800" y="4781550"/>
          <a:ext cx="122682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700-000009000000}"/>
            </a:ext>
          </a:extLst>
        </xdr:cNvPr>
        <xdr:cNvSpPr/>
      </xdr:nvSpPr>
      <xdr:spPr>
        <a:xfrm>
          <a:off x="90716100" y="4781550"/>
          <a:ext cx="122682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700-00000A000000}"/>
            </a:ext>
          </a:extLst>
        </xdr:cNvPr>
        <xdr:cNvSpPr/>
      </xdr:nvSpPr>
      <xdr:spPr>
        <a:xfrm>
          <a:off x="49225200" y="4781550"/>
          <a:ext cx="122682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700-00000B000000}"/>
            </a:ext>
          </a:extLst>
        </xdr:cNvPr>
        <xdr:cNvSpPr/>
      </xdr:nvSpPr>
      <xdr:spPr>
        <a:xfrm>
          <a:off x="77343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700-00000C000000}"/>
            </a:ext>
          </a:extLst>
        </xdr:cNvPr>
        <xdr:cNvSpPr/>
      </xdr:nvSpPr>
      <xdr:spPr>
        <a:xfrm flipH="1">
          <a:off x="618363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700-00000D000000}"/>
            </a:ext>
          </a:extLst>
        </xdr:cNvPr>
        <xdr:cNvSpPr/>
      </xdr:nvSpPr>
      <xdr:spPr>
        <a:xfrm flipH="1">
          <a:off x="756666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700-00000E000000}"/>
            </a:ext>
          </a:extLst>
        </xdr:cNvPr>
        <xdr:cNvSpPr/>
      </xdr:nvSpPr>
      <xdr:spPr>
        <a:xfrm flipH="1">
          <a:off x="894969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650431" y="1138518"/>
          <a:ext cx="414617" cy="414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22412</xdr:rowOff>
    </xdr:to>
    <xdr:pic macro="[0]!Coordinator">
      <xdr:nvPicPr>
        <xdr:cNvPr id="16" name="Afbeelding 15" descr="CO">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027382" y="1580029"/>
          <a:ext cx="425824" cy="425824"/>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11207</xdr:rowOff>
    </xdr:to>
    <xdr:pic macro="[0]!Shaper">
      <xdr:nvPicPr>
        <xdr:cNvPr id="17" name="Afbeelding 16" descr="SH">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038589" y="2039471"/>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038589" y="2498912"/>
          <a:ext cx="414618" cy="41461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038589" y="2958353"/>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038589" y="3417794"/>
          <a:ext cx="414618" cy="41461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038589" y="3877235"/>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038589" y="4336676"/>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11208</xdr:rowOff>
    </xdr:to>
    <xdr:pic macro="[0]!Specialist">
      <xdr:nvPicPr>
        <xdr:cNvPr id="23" name="Afbeelding 22" descr="SP">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038590" y="4796119"/>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5" name="Afgeronde rechthoek 24">
          <a:extLst>
            <a:ext uri="{FF2B5EF4-FFF2-40B4-BE49-F238E27FC236}">
              <a16:creationId xmlns:a16="http://schemas.microsoft.com/office/drawing/2014/main" id="{00000000-0008-0000-0700-000019000000}"/>
            </a:ext>
          </a:extLst>
        </xdr:cNvPr>
        <xdr:cNvSpPr/>
      </xdr:nvSpPr>
      <xdr:spPr>
        <a:xfrm>
          <a:off x="105380119" y="255494"/>
          <a:ext cx="1290916" cy="5400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6" name="Afgeronde rechthoek 25">
          <a:extLst>
            <a:ext uri="{FF2B5EF4-FFF2-40B4-BE49-F238E27FC236}">
              <a16:creationId xmlns:a16="http://schemas.microsoft.com/office/drawing/2014/main" id="{00000000-0008-0000-0700-00001A000000}"/>
            </a:ext>
          </a:extLst>
        </xdr:cNvPr>
        <xdr:cNvSpPr/>
      </xdr:nvSpPr>
      <xdr:spPr>
        <a:xfrm>
          <a:off x="107150647" y="224118"/>
          <a:ext cx="571500" cy="540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7" name="Grafiek 26">
          <a:extLst>
            <a:ext uri="{FF2B5EF4-FFF2-40B4-BE49-F238E27FC236}">
              <a16:creationId xmlns:a16="http://schemas.microsoft.com/office/drawing/2014/main" id="{00000000-0008-0000-07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4" name="Tekstvak 23">
          <a:extLst>
            <a:ext uri="{FF2B5EF4-FFF2-40B4-BE49-F238E27FC236}">
              <a16:creationId xmlns:a16="http://schemas.microsoft.com/office/drawing/2014/main" id="{00000000-0008-0000-0700-000018000000}"/>
            </a:ext>
          </a:extLst>
        </xdr:cNvPr>
        <xdr:cNvSpPr txBox="1"/>
      </xdr:nvSpPr>
      <xdr:spPr>
        <a:xfrm>
          <a:off x="105380119" y="5468471"/>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21</xdr:row>
      <xdr:rowOff>0</xdr:rowOff>
    </xdr:to>
    <xdr:pic>
      <xdr:nvPicPr>
        <xdr:cNvPr id="32" name="Afbeelding 31" descr="PL">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2134895"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21</xdr:row>
      <xdr:rowOff>0</xdr:rowOff>
    </xdr:to>
    <xdr:pic>
      <xdr:nvPicPr>
        <xdr:cNvPr id="33" name="Afbeelding 32" descr="RI">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466589" y="4858871"/>
          <a:ext cx="331694"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21</xdr:row>
      <xdr:rowOff>0</xdr:rowOff>
    </xdr:to>
    <xdr:pic>
      <xdr:nvPicPr>
        <xdr:cNvPr id="34" name="Afbeelding 33" descr="CO">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471506"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21</xdr:row>
      <xdr:rowOff>0</xdr:rowOff>
    </xdr:to>
    <xdr:pic>
      <xdr:nvPicPr>
        <xdr:cNvPr id="35" name="Afbeelding 34" descr="SH">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803201" y="4858871"/>
          <a:ext cx="331694"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21</xdr:row>
      <xdr:rowOff>0</xdr:rowOff>
    </xdr:to>
    <xdr:pic>
      <xdr:nvPicPr>
        <xdr:cNvPr id="36" name="Afbeelding 35" descr="ME">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798283"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21</xdr:row>
      <xdr:rowOff>0</xdr:rowOff>
    </xdr:to>
    <xdr:pic>
      <xdr:nvPicPr>
        <xdr:cNvPr id="37" name="Afbeelding 36" descr="TW">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3129976" y="4858871"/>
          <a:ext cx="331695"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21</xdr:row>
      <xdr:rowOff>0</xdr:rowOff>
    </xdr:to>
    <xdr:pic>
      <xdr:nvPicPr>
        <xdr:cNvPr id="38" name="Afbeelding 37" descr="IMP">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1139813"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21</xdr:row>
      <xdr:rowOff>0</xdr:rowOff>
    </xdr:to>
    <xdr:pic>
      <xdr:nvPicPr>
        <xdr:cNvPr id="39" name="Afbeelding 38" descr="CF">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461672" y="4858871"/>
          <a:ext cx="331694"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21</xdr:row>
      <xdr:rowOff>0</xdr:rowOff>
    </xdr:to>
    <xdr:pic>
      <xdr:nvPicPr>
        <xdr:cNvPr id="40" name="Afbeelding 39" descr="SP">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793366"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519949</xdr:colOff>
      <xdr:row>20</xdr:row>
      <xdr:rowOff>17930</xdr:rowOff>
    </xdr:from>
    <xdr:to>
      <xdr:col>7</xdr:col>
      <xdr:colOff>555807</xdr:colOff>
      <xdr:row>22</xdr:row>
      <xdr:rowOff>20049</xdr:rowOff>
    </xdr:to>
    <xdr:sp macro="[0]!ToStart" textlink="">
      <xdr:nvSpPr>
        <xdr:cNvPr id="41" name="Afgeronde rechthoek 40">
          <a:extLst>
            <a:ext uri="{FF2B5EF4-FFF2-40B4-BE49-F238E27FC236}">
              <a16:creationId xmlns:a16="http://schemas.microsoft.com/office/drawing/2014/main" id="{00000000-0008-0000-0700-000029000000}"/>
            </a:ext>
          </a:extLst>
        </xdr:cNvPr>
        <xdr:cNvSpPr/>
      </xdr:nvSpPr>
      <xdr:spPr>
        <a:xfrm>
          <a:off x="6598020" y="487680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8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8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8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8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8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8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8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8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8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8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8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8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8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8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8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8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8965</xdr:rowOff>
    </xdr:from>
    <xdr:to>
      <xdr:col>7</xdr:col>
      <xdr:colOff>573737</xdr:colOff>
      <xdr:row>22</xdr:row>
      <xdr:rowOff>11083</xdr:rowOff>
    </xdr:to>
    <xdr:sp macro="[0]!ToStart" textlink="">
      <xdr:nvSpPr>
        <xdr:cNvPr id="37" name="Afgeronde rechthoek 36">
          <a:extLst>
            <a:ext uri="{FF2B5EF4-FFF2-40B4-BE49-F238E27FC236}">
              <a16:creationId xmlns:a16="http://schemas.microsoft.com/office/drawing/2014/main" id="{00000000-0008-0000-0800-000025000000}"/>
            </a:ext>
          </a:extLst>
        </xdr:cNvPr>
        <xdr:cNvSpPr/>
      </xdr:nvSpPr>
      <xdr:spPr>
        <a:xfrm>
          <a:off x="6615950"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23</xdr:row>
      <xdr:rowOff>0</xdr:rowOff>
    </xdr:from>
    <xdr:to>
      <xdr:col>25</xdr:col>
      <xdr:colOff>0</xdr:colOff>
      <xdr:row>52</xdr:row>
      <xdr:rowOff>0</xdr:rowOff>
    </xdr:to>
    <xdr:graphicFrame macro="">
      <xdr:nvGraphicFramePr>
        <xdr:cNvPr id="11" name="Grafiek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1143000</xdr:colOff>
      <xdr:row>0</xdr:row>
      <xdr:rowOff>53340</xdr:rowOff>
    </xdr:from>
    <xdr:to>
      <xdr:col>0</xdr:col>
      <xdr:colOff>1745877</xdr:colOff>
      <xdr:row>1</xdr:row>
      <xdr:rowOff>181860</xdr:rowOff>
    </xdr:to>
    <xdr:sp macro="[0]!Printpreview_total_team" textlink="">
      <xdr:nvSpPr>
        <xdr:cNvPr id="3" name="Afgeronde rechthoek 2">
          <a:extLst>
            <a:ext uri="{FF2B5EF4-FFF2-40B4-BE49-F238E27FC236}">
              <a16:creationId xmlns:a16="http://schemas.microsoft.com/office/drawing/2014/main" id="{00000000-0008-0000-0900-000003000000}"/>
            </a:ext>
          </a:extLst>
        </xdr:cNvPr>
        <xdr:cNvSpPr/>
      </xdr:nvSpPr>
      <xdr:spPr>
        <a:xfrm>
          <a:off x="1143000" y="53340"/>
          <a:ext cx="602877" cy="540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0</xdr:col>
      <xdr:colOff>60960</xdr:colOff>
      <xdr:row>0</xdr:row>
      <xdr:rowOff>53340</xdr:rowOff>
    </xdr:from>
    <xdr:to>
      <xdr:col>0</xdr:col>
      <xdr:colOff>1021080</xdr:colOff>
      <xdr:row>1</xdr:row>
      <xdr:rowOff>181860</xdr:rowOff>
    </xdr:to>
    <xdr:sp macro="[0]!ToStart" textlink="">
      <xdr:nvSpPr>
        <xdr:cNvPr id="4" name="Afgeronde rechthoek 3">
          <a:extLst>
            <a:ext uri="{FF2B5EF4-FFF2-40B4-BE49-F238E27FC236}">
              <a16:creationId xmlns:a16="http://schemas.microsoft.com/office/drawing/2014/main" id="{00000000-0008-0000-0900-000004000000}"/>
            </a:ext>
          </a:extLst>
        </xdr:cNvPr>
        <xdr:cNvSpPr/>
      </xdr:nvSpPr>
      <xdr:spPr>
        <a:xfrm>
          <a:off x="60960" y="53340"/>
          <a:ext cx="960120" cy="540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xdr:colOff>
      <xdr:row>1</xdr:row>
      <xdr:rowOff>257175</xdr:rowOff>
    </xdr:from>
    <xdr:to>
      <xdr:col>0</xdr:col>
      <xdr:colOff>819150</xdr:colOff>
      <xdr:row>2</xdr:row>
      <xdr:rowOff>333375</xdr:rowOff>
    </xdr:to>
    <xdr:pic>
      <xdr:nvPicPr>
        <xdr:cNvPr id="2" name="Afbeelding 1" descr="PL">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7150" y="638175"/>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3</xdr:row>
      <xdr:rowOff>295275</xdr:rowOff>
    </xdr:from>
    <xdr:to>
      <xdr:col>0</xdr:col>
      <xdr:colOff>800100</xdr:colOff>
      <xdr:row>4</xdr:row>
      <xdr:rowOff>371475</xdr:rowOff>
    </xdr:to>
    <xdr:pic>
      <xdr:nvPicPr>
        <xdr:cNvPr id="3" name="Afbeelding 2" descr="RI">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 y="2047875"/>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5</xdr:row>
      <xdr:rowOff>247650</xdr:rowOff>
    </xdr:from>
    <xdr:to>
      <xdr:col>0</xdr:col>
      <xdr:colOff>809625</xdr:colOff>
      <xdr:row>7</xdr:row>
      <xdr:rowOff>152400</xdr:rowOff>
    </xdr:to>
    <xdr:pic>
      <xdr:nvPicPr>
        <xdr:cNvPr id="4" name="Afbeelding 3" descr="CO">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33718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8</xdr:row>
      <xdr:rowOff>257175</xdr:rowOff>
    </xdr:from>
    <xdr:to>
      <xdr:col>0</xdr:col>
      <xdr:colOff>809625</xdr:colOff>
      <xdr:row>9</xdr:row>
      <xdr:rowOff>333375</xdr:rowOff>
    </xdr:to>
    <xdr:pic>
      <xdr:nvPicPr>
        <xdr:cNvPr id="5" name="Afbeelding 4" descr="SH">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7625" y="46672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10</xdr:row>
      <xdr:rowOff>371475</xdr:rowOff>
    </xdr:from>
    <xdr:to>
      <xdr:col>0</xdr:col>
      <xdr:colOff>809625</xdr:colOff>
      <xdr:row>11</xdr:row>
      <xdr:rowOff>447675</xdr:rowOff>
    </xdr:to>
    <xdr:pic>
      <xdr:nvPicPr>
        <xdr:cNvPr id="6" name="Afbeelding 5" descr="ME">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61531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12</xdr:row>
      <xdr:rowOff>314325</xdr:rowOff>
    </xdr:from>
    <xdr:to>
      <xdr:col>0</xdr:col>
      <xdr:colOff>828675</xdr:colOff>
      <xdr:row>13</xdr:row>
      <xdr:rowOff>390525</xdr:rowOff>
    </xdr:to>
    <xdr:pic>
      <xdr:nvPicPr>
        <xdr:cNvPr id="7" name="Afbeelding 6" descr="TW">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6675" y="74676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14</xdr:row>
      <xdr:rowOff>333375</xdr:rowOff>
    </xdr:from>
    <xdr:to>
      <xdr:col>0</xdr:col>
      <xdr:colOff>819150</xdr:colOff>
      <xdr:row>15</xdr:row>
      <xdr:rowOff>409575</xdr:rowOff>
    </xdr:to>
    <xdr:pic>
      <xdr:nvPicPr>
        <xdr:cNvPr id="8" name="Afbeelding 7" descr="IMP">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7150" y="88582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16</xdr:row>
      <xdr:rowOff>266700</xdr:rowOff>
    </xdr:from>
    <xdr:to>
      <xdr:col>0</xdr:col>
      <xdr:colOff>819150</xdr:colOff>
      <xdr:row>17</xdr:row>
      <xdr:rowOff>342900</xdr:rowOff>
    </xdr:to>
    <xdr:pic>
      <xdr:nvPicPr>
        <xdr:cNvPr id="9" name="Afbeelding 8" descr="CF">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7150" y="10163175"/>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18</xdr:row>
      <xdr:rowOff>276225</xdr:rowOff>
    </xdr:from>
    <xdr:to>
      <xdr:col>0</xdr:col>
      <xdr:colOff>809625</xdr:colOff>
      <xdr:row>19</xdr:row>
      <xdr:rowOff>352425</xdr:rowOff>
    </xdr:to>
    <xdr:pic>
      <xdr:nvPicPr>
        <xdr:cNvPr id="10" name="Afbeelding 9" descr="SP">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7625" y="115443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83820</xdr:colOff>
      <xdr:row>0</xdr:row>
      <xdr:rowOff>76200</xdr:rowOff>
    </xdr:from>
    <xdr:to>
      <xdr:col>1</xdr:col>
      <xdr:colOff>45720</xdr:colOff>
      <xdr:row>0</xdr:row>
      <xdr:rowOff>510540</xdr:rowOff>
    </xdr:to>
    <xdr:sp macro="[0]!ToStart" textlink="">
      <xdr:nvSpPr>
        <xdr:cNvPr id="11" name="Afgeronde rechthoek 10">
          <a:extLst>
            <a:ext uri="{FF2B5EF4-FFF2-40B4-BE49-F238E27FC236}">
              <a16:creationId xmlns:a16="http://schemas.microsoft.com/office/drawing/2014/main" id="{00000000-0008-0000-0B00-00000B000000}"/>
            </a:ext>
          </a:extLst>
        </xdr:cNvPr>
        <xdr:cNvSpPr/>
      </xdr:nvSpPr>
      <xdr:spPr>
        <a:xfrm>
          <a:off x="83820" y="76200"/>
          <a:ext cx="853440" cy="43434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900" b="0"/>
            <a:t>Back to Start</a:t>
          </a:r>
          <a:endParaRPr lang="nl-NL" sz="600" b="0"/>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0</xdr:col>
      <xdr:colOff>476250</xdr:colOff>
      <xdr:row>0</xdr:row>
      <xdr:rowOff>104775</xdr:rowOff>
    </xdr:from>
    <xdr:to>
      <xdr:col>1</xdr:col>
      <xdr:colOff>371474</xdr:colOff>
      <xdr:row>0</xdr:row>
      <xdr:rowOff>390525</xdr:rowOff>
    </xdr:to>
    <xdr:sp macro="[0]!BackToScore" textlink="">
      <xdr:nvSpPr>
        <xdr:cNvPr id="11" name="Vijfhoek 10">
          <a:extLst>
            <a:ext uri="{FF2B5EF4-FFF2-40B4-BE49-F238E27FC236}">
              <a16:creationId xmlns:a16="http://schemas.microsoft.com/office/drawing/2014/main" id="{00000000-0008-0000-0C00-00000B000000}"/>
            </a:ext>
          </a:extLst>
        </xdr:cNvPr>
        <xdr:cNvSpPr/>
      </xdr:nvSpPr>
      <xdr:spPr>
        <a:xfrm flipH="1">
          <a:off x="476250" y="104775"/>
          <a:ext cx="1066799" cy="28575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1100"/>
            <a:t>Back to score</a:t>
          </a:r>
        </a:p>
      </xdr:txBody>
    </xdr:sp>
    <xdr:clientData fPrintsWithSheet="0"/>
  </xdr:twoCellAnchor>
  <xdr:twoCellAnchor>
    <xdr:from>
      <xdr:col>1</xdr:col>
      <xdr:colOff>655320</xdr:colOff>
      <xdr:row>0</xdr:row>
      <xdr:rowOff>106680</xdr:rowOff>
    </xdr:from>
    <xdr:to>
      <xdr:col>1</xdr:col>
      <xdr:colOff>1744980</xdr:colOff>
      <xdr:row>0</xdr:row>
      <xdr:rowOff>403860</xdr:rowOff>
    </xdr:to>
    <xdr:sp macro="[0]!Printpreview_total" textlink="">
      <xdr:nvSpPr>
        <xdr:cNvPr id="3" name="Afgeronde rechthoek 2">
          <a:extLst>
            <a:ext uri="{FF2B5EF4-FFF2-40B4-BE49-F238E27FC236}">
              <a16:creationId xmlns:a16="http://schemas.microsoft.com/office/drawing/2014/main" id="{00000000-0008-0000-0C00-000003000000}"/>
            </a:ext>
          </a:extLst>
        </xdr:cNvPr>
        <xdr:cNvSpPr/>
      </xdr:nvSpPr>
      <xdr:spPr>
        <a:xfrm>
          <a:off x="1859280" y="106680"/>
          <a:ext cx="1089660" cy="29718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400">
              <a:sym typeface="Webdings"/>
            </a:rPr>
            <a:t> </a:t>
          </a:r>
          <a:r>
            <a:rPr lang="nl-NL" sz="1100">
              <a:sym typeface="Webdings"/>
            </a:rPr>
            <a:t>Print total</a:t>
          </a:r>
          <a:endParaRPr lang="nl-NL" sz="900"/>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1:Q8"/>
  <sheetViews>
    <sheetView showGridLines="0" workbookViewId="0">
      <selection activeCell="C2" sqref="C2:E2"/>
    </sheetView>
  </sheetViews>
  <sheetFormatPr defaultRowHeight="15" x14ac:dyDescent="0.25"/>
  <cols>
    <col min="9" max="9" width="3.42578125" customWidth="1"/>
  </cols>
  <sheetData>
    <row r="1" spans="1:17" ht="35.1" customHeight="1" x14ac:dyDescent="0.25">
      <c r="A1" s="115" t="s">
        <v>94</v>
      </c>
      <c r="B1" s="36">
        <v>1</v>
      </c>
      <c r="C1" s="117" t="s">
        <v>161</v>
      </c>
      <c r="D1" s="117"/>
      <c r="E1" s="117"/>
      <c r="F1" s="38">
        <f>IF(SUM(Mārtiņš!EM$5:EM$21)=70,1,0)</f>
        <v>1</v>
      </c>
      <c r="L1" s="111" t="s">
        <v>93</v>
      </c>
      <c r="M1" s="111"/>
      <c r="N1" s="111"/>
      <c r="O1" s="112">
        <v>40</v>
      </c>
      <c r="P1" s="113"/>
      <c r="Q1" s="113"/>
    </row>
    <row r="2" spans="1:17" ht="35.1" customHeight="1" x14ac:dyDescent="0.25">
      <c r="A2" s="115"/>
      <c r="B2" s="35">
        <v>2</v>
      </c>
      <c r="C2" s="118">
        <v>2</v>
      </c>
      <c r="D2" s="118"/>
      <c r="E2" s="118"/>
      <c r="F2" s="39">
        <f>IF(SUM('2'!EM$5:EM$21)=70,1,0)</f>
        <v>1</v>
      </c>
    </row>
    <row r="3" spans="1:17" ht="35.1" customHeight="1" x14ac:dyDescent="0.25">
      <c r="A3" s="115"/>
      <c r="B3" s="34">
        <v>3</v>
      </c>
      <c r="C3" s="119"/>
      <c r="D3" s="119"/>
      <c r="E3" s="119"/>
      <c r="F3" s="39">
        <f>IF(SUM('3'!EM$5:EM$21)=70,1,0)</f>
        <v>0</v>
      </c>
    </row>
    <row r="4" spans="1:17" ht="35.1" customHeight="1" x14ac:dyDescent="0.25">
      <c r="A4" s="115"/>
      <c r="B4" s="33">
        <v>4</v>
      </c>
      <c r="C4" s="120"/>
      <c r="D4" s="120"/>
      <c r="E4" s="120"/>
      <c r="F4" s="39">
        <f>IF(SUM('4'!EM$5:EM$21)=70,1,0)</f>
        <v>0</v>
      </c>
    </row>
    <row r="5" spans="1:17" ht="35.1" customHeight="1" x14ac:dyDescent="0.25">
      <c r="A5" s="115"/>
      <c r="B5" s="32">
        <v>5</v>
      </c>
      <c r="C5" s="121"/>
      <c r="D5" s="121"/>
      <c r="E5" s="121"/>
      <c r="F5" s="39">
        <f>IF(SUM('5'!EM$5:EM$21)=70,1,0)</f>
        <v>0</v>
      </c>
    </row>
    <row r="6" spans="1:17" ht="35.1" customHeight="1" x14ac:dyDescent="0.25">
      <c r="A6" s="115"/>
      <c r="B6" s="31">
        <v>6</v>
      </c>
      <c r="C6" s="110"/>
      <c r="D6" s="110"/>
      <c r="E6" s="110"/>
      <c r="F6" s="39">
        <f>IF(SUM('6'!EM$5:EM$21)=70,1,0)</f>
        <v>0</v>
      </c>
    </row>
    <row r="7" spans="1:17" ht="35.1" customHeight="1" x14ac:dyDescent="0.25">
      <c r="A7" s="115"/>
      <c r="B7" s="30">
        <v>7</v>
      </c>
      <c r="C7" s="114"/>
      <c r="D7" s="114"/>
      <c r="E7" s="114"/>
      <c r="F7" s="39">
        <f>IF(SUM('7'!EM$5:EM$21)=70,1,0)</f>
        <v>0</v>
      </c>
    </row>
    <row r="8" spans="1:17" ht="35.1" customHeight="1" x14ac:dyDescent="0.25">
      <c r="A8" s="115"/>
      <c r="B8" s="29">
        <v>8</v>
      </c>
      <c r="C8" s="116"/>
      <c r="D8" s="116"/>
      <c r="E8" s="116"/>
      <c r="F8" s="40">
        <f>IF(SUM('8'!EM$5:EM$21)=70,1,0)</f>
        <v>0</v>
      </c>
    </row>
  </sheetData>
  <sheetProtection sheet="1" objects="1" scenarios="1" selectLockedCells="1"/>
  <mergeCells count="11">
    <mergeCell ref="C6:E6"/>
    <mergeCell ref="L1:N1"/>
    <mergeCell ref="O1:Q1"/>
    <mergeCell ref="C7:E7"/>
    <mergeCell ref="A1:A8"/>
    <mergeCell ref="C8:E8"/>
    <mergeCell ref="C1:E1"/>
    <mergeCell ref="C2:E2"/>
    <mergeCell ref="C3:E3"/>
    <mergeCell ref="C4:E4"/>
    <mergeCell ref="C5:E5"/>
  </mergeCells>
  <conditionalFormatting sqref="F1:F8">
    <cfRule type="iconSet" priority="1">
      <iconSet iconSet="3Symbols2" showValue="0">
        <cfvo type="percent" val="0"/>
        <cfvo type="num" val="0" gte="0"/>
        <cfvo type="num" val="1"/>
      </iconSet>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0">
    <pageSetUpPr fitToPage="1"/>
  </sheetPr>
  <dimension ref="A1:GL53"/>
  <sheetViews>
    <sheetView topLeftCell="DI1" zoomScale="130" zoomScaleNormal="130" workbookViewId="0">
      <selection activeCell="DH13" sqref="DH13"/>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",Start!C1)</f>
        <v>Results Belbin test per section of Mārtiņš</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t="str">
        <f>Start!C1</f>
        <v>Mārtiņš</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v>1</v>
      </c>
      <c r="W5" s="18"/>
      <c r="X5" s="135" t="s">
        <v>2</v>
      </c>
      <c r="Y5" s="136"/>
      <c r="Z5" s="136"/>
      <c r="AA5" s="136"/>
      <c r="AB5" s="136"/>
      <c r="AC5" s="136"/>
      <c r="AD5" s="136"/>
      <c r="AE5" s="136"/>
      <c r="AF5" s="136"/>
      <c r="AG5" s="18"/>
      <c r="AJ5" s="18"/>
      <c r="AK5" s="18"/>
      <c r="AL5" s="19" t="s">
        <v>23</v>
      </c>
      <c r="AM5" s="19"/>
      <c r="AN5" s="41">
        <v>2</v>
      </c>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v>2</v>
      </c>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v>3</v>
      </c>
      <c r="DI5" s="4"/>
      <c r="DJ5" s="135" t="s">
        <v>2</v>
      </c>
      <c r="DK5" s="136"/>
      <c r="DL5" s="136"/>
      <c r="DM5" s="136"/>
      <c r="DN5" s="136"/>
      <c r="DO5" s="136"/>
      <c r="DP5" s="136"/>
      <c r="DQ5" s="136"/>
      <c r="DR5" s="136"/>
      <c r="DS5" s="4"/>
      <c r="DW5" s="27"/>
      <c r="DX5" s="56" t="s">
        <v>74</v>
      </c>
      <c r="DY5" s="56"/>
      <c r="DZ5" s="80">
        <f>D9</f>
        <v>2</v>
      </c>
      <c r="EA5" s="80">
        <f>D13</f>
        <v>0</v>
      </c>
      <c r="EB5" s="80">
        <f>D21</f>
        <v>1</v>
      </c>
      <c r="EC5" s="80">
        <f>D19</f>
        <v>2</v>
      </c>
      <c r="ED5" s="80">
        <f>D5</f>
        <v>0</v>
      </c>
      <c r="EE5" s="80">
        <f>D17</f>
        <v>1</v>
      </c>
      <c r="EF5" s="80">
        <f>D7</f>
        <v>1</v>
      </c>
      <c r="EG5" s="80">
        <f>D11</f>
        <v>0</v>
      </c>
      <c r="EH5" s="80">
        <f>D15</f>
        <v>3</v>
      </c>
      <c r="EI5" s="59"/>
      <c r="EJ5" s="61"/>
      <c r="EK5" s="62" t="s">
        <v>82</v>
      </c>
      <c r="EL5" s="63"/>
      <c r="EM5" s="64">
        <f>DZ19</f>
        <v>6</v>
      </c>
      <c r="EN5" s="65"/>
      <c r="EO5" s="26"/>
      <c r="EU5" s="54" t="str">
        <f>EK5</f>
        <v>Implementor</v>
      </c>
      <c r="EV5" s="54">
        <f>EM5</f>
        <v>6</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7</v>
      </c>
    </row>
    <row r="7" spans="1:194" s="17" customFormat="1" ht="31.9" customHeight="1" thickTop="1" thickBot="1" x14ac:dyDescent="0.3">
      <c r="B7" s="16" t="s">
        <v>3</v>
      </c>
      <c r="C7" s="16"/>
      <c r="D7" s="41">
        <v>1</v>
      </c>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v>1</v>
      </c>
      <c r="AO7" s="18"/>
      <c r="AP7" s="136"/>
      <c r="AQ7" s="136"/>
      <c r="AR7" s="136"/>
      <c r="AS7" s="136"/>
      <c r="AT7" s="136"/>
      <c r="AU7" s="136"/>
      <c r="AV7" s="136"/>
      <c r="AW7" s="136"/>
      <c r="AX7" s="136"/>
      <c r="AY7" s="18"/>
      <c r="BB7" s="18"/>
      <c r="BC7" s="18"/>
      <c r="BD7" s="19" t="s">
        <v>34</v>
      </c>
      <c r="BE7" s="19"/>
      <c r="BF7" s="41">
        <v>1</v>
      </c>
      <c r="BG7" s="18"/>
      <c r="BH7" s="136"/>
      <c r="BI7" s="136"/>
      <c r="BJ7" s="136"/>
      <c r="BK7" s="136"/>
      <c r="BL7" s="136"/>
      <c r="BM7" s="136"/>
      <c r="BN7" s="136"/>
      <c r="BO7" s="136"/>
      <c r="BP7" s="136"/>
      <c r="BQ7" s="18"/>
      <c r="BT7" s="18"/>
      <c r="BU7" s="18"/>
      <c r="BV7" s="19" t="s">
        <v>44</v>
      </c>
      <c r="BW7" s="19"/>
      <c r="BX7" s="41">
        <v>3</v>
      </c>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1</v>
      </c>
      <c r="EA7" s="81">
        <f>V17</f>
        <v>2</v>
      </c>
      <c r="EB7" s="81">
        <f>V15</f>
        <v>2</v>
      </c>
      <c r="EC7" s="81">
        <f>V11</f>
        <v>1</v>
      </c>
      <c r="ED7" s="81">
        <f>V21</f>
        <v>0</v>
      </c>
      <c r="EE7" s="81">
        <f>V7</f>
        <v>0</v>
      </c>
      <c r="EF7" s="81">
        <f>V9</f>
        <v>0</v>
      </c>
      <c r="EG7" s="81">
        <f>V13</f>
        <v>3</v>
      </c>
      <c r="EH7" s="81">
        <f>V19</f>
        <v>1</v>
      </c>
      <c r="EI7" s="59"/>
      <c r="EJ7" s="61"/>
      <c r="EK7" s="74" t="s">
        <v>83</v>
      </c>
      <c r="EL7" s="75"/>
      <c r="EM7" s="64">
        <f>EA19</f>
        <v>7</v>
      </c>
      <c r="EN7" s="65"/>
      <c r="EO7" s="26"/>
      <c r="EU7" s="54" t="str">
        <f>EK9</f>
        <v>Shaper</v>
      </c>
      <c r="EV7" s="54">
        <f>EM9</f>
        <v>12</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8</v>
      </c>
    </row>
    <row r="9" spans="1:194" s="17" customFormat="1" ht="31.9" customHeight="1" thickTop="1" thickBot="1" x14ac:dyDescent="0.3">
      <c r="B9" s="16" t="s">
        <v>4</v>
      </c>
      <c r="C9" s="16"/>
      <c r="D9" s="41">
        <v>2</v>
      </c>
      <c r="S9" s="18"/>
      <c r="T9" s="19" t="s">
        <v>15</v>
      </c>
      <c r="U9" s="19"/>
      <c r="V9" s="41"/>
      <c r="W9" s="18"/>
      <c r="X9" s="18"/>
      <c r="Y9" s="18"/>
      <c r="Z9" s="18"/>
      <c r="AA9" s="18"/>
      <c r="AB9" s="18"/>
      <c r="AC9" s="18"/>
      <c r="AD9" s="18"/>
      <c r="AE9" s="18"/>
      <c r="AF9" s="18"/>
      <c r="AG9" s="18"/>
      <c r="AJ9" s="18"/>
      <c r="AK9" s="18"/>
      <c r="AL9" s="19" t="s">
        <v>25</v>
      </c>
      <c r="AM9" s="19"/>
      <c r="AN9" s="41">
        <v>0</v>
      </c>
      <c r="AO9" s="18"/>
      <c r="AP9" s="18"/>
      <c r="AQ9" s="18"/>
      <c r="AR9" s="18"/>
      <c r="AS9" s="18"/>
      <c r="AT9" s="128" t="str">
        <f>IF(AS11&gt;0,"YOU HAVE NOT USED ALL OF YOUR POINTS YET","")</f>
        <v/>
      </c>
      <c r="AU9" s="128"/>
      <c r="AV9" s="128"/>
      <c r="AW9" s="128"/>
      <c r="AX9" s="18"/>
      <c r="AY9" s="18"/>
      <c r="BB9" s="18"/>
      <c r="BC9" s="18"/>
      <c r="BD9" s="19" t="s">
        <v>35</v>
      </c>
      <c r="BE9" s="19"/>
      <c r="BF9" s="41">
        <v>3</v>
      </c>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v>4</v>
      </c>
      <c r="CQ9" s="18"/>
      <c r="CR9" s="18"/>
      <c r="CS9" s="18"/>
      <c r="CT9" s="18"/>
      <c r="CU9" s="18"/>
      <c r="CV9" s="18"/>
      <c r="CW9" s="18"/>
      <c r="CX9" s="18"/>
      <c r="CY9" s="18"/>
      <c r="CZ9" s="18"/>
      <c r="DA9" s="18"/>
      <c r="DD9" s="4"/>
      <c r="DE9" s="4"/>
      <c r="DF9" s="15" t="s">
        <v>65</v>
      </c>
      <c r="DG9" s="15"/>
      <c r="DH9" s="41">
        <v>2</v>
      </c>
      <c r="DI9" s="4"/>
      <c r="DJ9" s="4"/>
      <c r="DK9" s="4"/>
      <c r="DL9" s="4"/>
      <c r="DM9" s="4"/>
      <c r="DN9" s="4"/>
      <c r="DO9" s="4"/>
      <c r="DP9" s="4"/>
      <c r="DQ9" s="4"/>
      <c r="DR9" s="4"/>
      <c r="DS9" s="4"/>
      <c r="DW9" s="27"/>
      <c r="DX9" s="56" t="s">
        <v>76</v>
      </c>
      <c r="DY9" s="56"/>
      <c r="DZ9" s="81">
        <f>AN21</f>
        <v>1</v>
      </c>
      <c r="EA9" s="81">
        <f>AN9</f>
        <v>0</v>
      </c>
      <c r="EB9" s="81">
        <f>AN19</f>
        <v>1</v>
      </c>
      <c r="EC9" s="81">
        <f>AN5</f>
        <v>2</v>
      </c>
      <c r="ED9" s="81">
        <f>AN11</f>
        <v>0</v>
      </c>
      <c r="EE9" s="81">
        <f>AN15</f>
        <v>3</v>
      </c>
      <c r="EF9" s="81">
        <f>AN17</f>
        <v>2</v>
      </c>
      <c r="EG9" s="81">
        <f>AN7</f>
        <v>1</v>
      </c>
      <c r="EH9" s="81">
        <f>AN13</f>
        <v>0</v>
      </c>
      <c r="EI9" s="59"/>
      <c r="EJ9" s="61"/>
      <c r="EK9" s="62" t="s">
        <v>84</v>
      </c>
      <c r="EL9" s="63"/>
      <c r="EM9" s="64">
        <f>EB19</f>
        <v>12</v>
      </c>
      <c r="EN9" s="65"/>
      <c r="EO9" s="26"/>
      <c r="EU9" s="54" t="str">
        <f>EK13</f>
        <v>Resource Investigator</v>
      </c>
      <c r="EV9" s="54">
        <f>EM13</f>
        <v>4</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8</v>
      </c>
    </row>
    <row r="11" spans="1:194" s="17" customFormat="1" ht="31.9" customHeight="1" thickTop="1" thickBot="1" x14ac:dyDescent="0.3">
      <c r="B11" s="16" t="s">
        <v>5</v>
      </c>
      <c r="C11" s="16"/>
      <c r="D11" s="41"/>
      <c r="F11" s="129" t="s">
        <v>6</v>
      </c>
      <c r="G11" s="129"/>
      <c r="I11" s="22">
        <f>10-SUM(D5,D7,D9,D11,D13,D15,D17,D19,D21)</f>
        <v>0</v>
      </c>
      <c r="J11" s="126" t="str">
        <f>IF(I11&lt;0,"TOO MANY POINTS!","")</f>
        <v/>
      </c>
      <c r="K11" s="126"/>
      <c r="L11" s="126"/>
      <c r="M11" s="126"/>
      <c r="S11" s="18"/>
      <c r="T11" s="19" t="s">
        <v>16</v>
      </c>
      <c r="U11" s="19"/>
      <c r="V11" s="41">
        <v>1</v>
      </c>
      <c r="W11" s="18"/>
      <c r="X11" s="125" t="s">
        <v>6</v>
      </c>
      <c r="Y11" s="125"/>
      <c r="Z11" s="18"/>
      <c r="AA11" s="23">
        <f>10-SUM(V5,V7,V9,V11,V13,V15,V17,V19,V21)</f>
        <v>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0</v>
      </c>
      <c r="AT11" s="126" t="str">
        <f>IF(AS11&lt;0,"TOO MANY POINTS!","")</f>
        <v/>
      </c>
      <c r="AU11" s="126"/>
      <c r="AV11" s="126"/>
      <c r="AW11" s="126"/>
      <c r="AX11" s="20"/>
      <c r="AY11" s="18"/>
      <c r="BB11" s="18"/>
      <c r="BC11" s="18"/>
      <c r="BD11" s="19" t="s">
        <v>36</v>
      </c>
      <c r="BE11" s="19"/>
      <c r="BF11" s="41">
        <v>1</v>
      </c>
      <c r="BG11" s="18"/>
      <c r="BH11" s="125" t="s">
        <v>6</v>
      </c>
      <c r="BI11" s="125"/>
      <c r="BJ11" s="18"/>
      <c r="BK11" s="23">
        <f>10-SUM(BF5,BF7,BF9,BF11,BF13,BF15,BF17,BF19,BF21)</f>
        <v>0</v>
      </c>
      <c r="BL11" s="126" t="str">
        <f>IF(BK11&lt;0,"TOO MANY POINTS!","")</f>
        <v/>
      </c>
      <c r="BM11" s="126"/>
      <c r="BN11" s="126"/>
      <c r="BO11" s="126"/>
      <c r="BP11" s="20"/>
      <c r="BQ11" s="18"/>
      <c r="BT11" s="18"/>
      <c r="BU11" s="18"/>
      <c r="BV11" s="19" t="s">
        <v>46</v>
      </c>
      <c r="BW11" s="19"/>
      <c r="BX11" s="41">
        <v>1</v>
      </c>
      <c r="BY11" s="18"/>
      <c r="BZ11" s="125" t="s">
        <v>6</v>
      </c>
      <c r="CA11" s="125"/>
      <c r="CB11" s="18"/>
      <c r="CC11" s="23">
        <f>10-SUM(BX5,BX7,BX9,BX11,BX13,BX15,BX17,BX19,BX21)</f>
        <v>0</v>
      </c>
      <c r="CD11" s="126" t="str">
        <f>IF(CC11&lt;0,"TOO MANY POINTS!","")</f>
        <v/>
      </c>
      <c r="CE11" s="126"/>
      <c r="CF11" s="126"/>
      <c r="CG11" s="126"/>
      <c r="CH11" s="20"/>
      <c r="CI11" s="18"/>
      <c r="CL11" s="18"/>
      <c r="CM11" s="18"/>
      <c r="CN11" s="19" t="s">
        <v>56</v>
      </c>
      <c r="CO11" s="19"/>
      <c r="CP11" s="41">
        <v>1</v>
      </c>
      <c r="CQ11" s="18"/>
      <c r="CR11" s="125" t="s">
        <v>6</v>
      </c>
      <c r="CS11" s="125"/>
      <c r="CT11" s="18"/>
      <c r="CU11" s="23">
        <f>10-SUM(CP5,CP7,CP9,CP11,CP13,CP15,CP17,CP19,CP21)</f>
        <v>0</v>
      </c>
      <c r="CV11" s="126" t="str">
        <f>IF(CU11&lt;0,"TOO MANY POINTS!","")</f>
        <v/>
      </c>
      <c r="CW11" s="126"/>
      <c r="CX11" s="126"/>
      <c r="CY11" s="126"/>
      <c r="CZ11" s="20"/>
      <c r="DA11" s="18"/>
      <c r="DD11" s="4"/>
      <c r="DE11" s="4"/>
      <c r="DF11" s="15" t="s">
        <v>66</v>
      </c>
      <c r="DG11" s="15"/>
      <c r="DH11" s="41">
        <v>2</v>
      </c>
      <c r="DI11" s="4"/>
      <c r="DJ11" s="125" t="s">
        <v>6</v>
      </c>
      <c r="DK11" s="125"/>
      <c r="DL11" s="4"/>
      <c r="DM11" s="23">
        <f>10-SUM(DH5,DH7,DH9,DH11,DH13,DH15,DH17,DH19,DH21)</f>
        <v>0</v>
      </c>
      <c r="DN11" s="126" t="str">
        <f>IF(DM11&lt;0,"TOO MANY POINTS!","")</f>
        <v/>
      </c>
      <c r="DO11" s="126"/>
      <c r="DP11" s="126"/>
      <c r="DQ11" s="126"/>
      <c r="DR11" s="21"/>
      <c r="DS11" s="4"/>
      <c r="DW11" s="27"/>
      <c r="DX11" s="56" t="s">
        <v>77</v>
      </c>
      <c r="DY11" s="56"/>
      <c r="DZ11" s="81">
        <f>BF11</f>
        <v>1</v>
      </c>
      <c r="EA11" s="81">
        <f>BF7</f>
        <v>1</v>
      </c>
      <c r="EB11" s="81">
        <f>BF9</f>
        <v>3</v>
      </c>
      <c r="EC11" s="81">
        <f>BF13</f>
        <v>0</v>
      </c>
      <c r="ED11" s="81">
        <f>BF15</f>
        <v>0</v>
      </c>
      <c r="EE11" s="81">
        <f>BF19</f>
        <v>1</v>
      </c>
      <c r="EF11" s="81">
        <f>BF5</f>
        <v>0</v>
      </c>
      <c r="EG11" s="81">
        <f>BF17</f>
        <v>2</v>
      </c>
      <c r="EH11" s="81">
        <f>BF21</f>
        <v>2</v>
      </c>
      <c r="EI11" s="59"/>
      <c r="EJ11" s="61"/>
      <c r="EK11" s="74" t="s">
        <v>85</v>
      </c>
      <c r="EL11" s="75"/>
      <c r="EM11" s="64">
        <f>EC19</f>
        <v>8</v>
      </c>
      <c r="EN11" s="65"/>
      <c r="EO11" s="26"/>
      <c r="EU11" s="54" t="str">
        <f>EK17</f>
        <v>Team Worker</v>
      </c>
      <c r="EV11" s="54">
        <f>EM17</f>
        <v>6</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8</v>
      </c>
    </row>
    <row r="13" spans="1:194" s="17" customFormat="1" ht="31.9" customHeight="1" thickTop="1" thickBot="1" x14ac:dyDescent="0.3">
      <c r="B13" s="16" t="s">
        <v>7</v>
      </c>
      <c r="C13" s="16"/>
      <c r="D13" s="41"/>
      <c r="J13" s="127" t="str">
        <f>IF(I11&gt;0,"YOU HAVE NOT USED ALL OF YOUR POINTS YET","")</f>
        <v/>
      </c>
      <c r="K13" s="127"/>
      <c r="L13" s="127"/>
      <c r="M13" s="127"/>
      <c r="S13" s="18"/>
      <c r="T13" s="19" t="s">
        <v>17</v>
      </c>
      <c r="U13" s="19"/>
      <c r="V13" s="41">
        <v>3</v>
      </c>
      <c r="W13" s="18"/>
      <c r="X13" s="18"/>
      <c r="Y13" s="18"/>
      <c r="Z13" s="18"/>
      <c r="AA13" s="18"/>
      <c r="AB13" s="127" t="str">
        <f>IF(AA11&gt;0,"YOU HAVE NOT USED ALL OF YOUR POINTS YET","")</f>
        <v/>
      </c>
      <c r="AC13" s="127"/>
      <c r="AD13" s="127"/>
      <c r="AE13" s="127"/>
      <c r="AF13" s="20"/>
      <c r="AG13" s="18"/>
      <c r="AJ13" s="18"/>
      <c r="AK13" s="18"/>
      <c r="AL13" s="19" t="s">
        <v>27</v>
      </c>
      <c r="AM13" s="19"/>
      <c r="AN13" s="41">
        <v>0</v>
      </c>
      <c r="AO13" s="18"/>
      <c r="AP13" s="18"/>
      <c r="AQ13" s="18"/>
      <c r="AR13" s="18"/>
      <c r="AS13" s="18"/>
      <c r="AT13" s="127" t="str">
        <f>IF(AS11&gt;0,"YOU HAVE NOT USED ALL OF YOUR POINTS YET","")</f>
        <v/>
      </c>
      <c r="AU13" s="127"/>
      <c r="AV13" s="127"/>
      <c r="AW13" s="127"/>
      <c r="AX13" s="20"/>
      <c r="AY13" s="18"/>
      <c r="BB13" s="18"/>
      <c r="BC13" s="18"/>
      <c r="BD13" s="19" t="s">
        <v>37</v>
      </c>
      <c r="BE13" s="19"/>
      <c r="BF13" s="41"/>
      <c r="BG13" s="18"/>
      <c r="BH13" s="18"/>
      <c r="BI13" s="18"/>
      <c r="BJ13" s="18"/>
      <c r="BK13" s="18"/>
      <c r="BL13" s="127" t="str">
        <f>IF(BK11&gt;0,"YOU HAVE NOT USED ALL OF YOUR POINTS YET","")</f>
        <v/>
      </c>
      <c r="BM13" s="127"/>
      <c r="BN13" s="127"/>
      <c r="BO13" s="127"/>
      <c r="BP13" s="20"/>
      <c r="BQ13" s="18"/>
      <c r="BT13" s="18"/>
      <c r="BU13" s="18"/>
      <c r="BV13" s="19" t="s">
        <v>47</v>
      </c>
      <c r="BW13" s="19"/>
      <c r="BX13" s="41"/>
      <c r="BY13" s="18"/>
      <c r="BZ13" s="18"/>
      <c r="CA13" s="18"/>
      <c r="CB13" s="18"/>
      <c r="CC13" s="18"/>
      <c r="CD13" s="127" t="str">
        <f>IF(CC11&gt;0,"YOU HAVE NOT USED ALL OF YOUR POINTS YET","")</f>
        <v/>
      </c>
      <c r="CE13" s="127"/>
      <c r="CF13" s="127"/>
      <c r="CG13" s="127"/>
      <c r="CH13" s="20"/>
      <c r="CI13" s="18"/>
      <c r="CL13" s="18"/>
      <c r="CM13" s="18"/>
      <c r="CN13" s="19" t="s">
        <v>57</v>
      </c>
      <c r="CO13" s="19"/>
      <c r="CP13" s="41">
        <v>1</v>
      </c>
      <c r="CQ13" s="18"/>
      <c r="CR13" s="18"/>
      <c r="CS13" s="18"/>
      <c r="CT13" s="18"/>
      <c r="CU13" s="18"/>
      <c r="CV13" s="127" t="str">
        <f>IF(CU11&gt;0,"YOU HAVE NOT USED ALL OF YOUR POINTS YET","")</f>
        <v/>
      </c>
      <c r="CW13" s="127"/>
      <c r="CX13" s="127"/>
      <c r="CY13" s="127"/>
      <c r="CZ13" s="20"/>
      <c r="DA13" s="18"/>
      <c r="DD13" s="4"/>
      <c r="DE13" s="4"/>
      <c r="DF13" s="15" t="s">
        <v>67</v>
      </c>
      <c r="DG13" s="15"/>
      <c r="DH13" s="41"/>
      <c r="DI13" s="4"/>
      <c r="DJ13" s="4"/>
      <c r="DK13" s="4"/>
      <c r="DL13" s="4"/>
      <c r="DM13" s="4"/>
      <c r="DN13" s="127" t="str">
        <f>IF(DM11&gt;0,"YOU HAVE NOT USED ALL OF YOUR POINTS YET","")</f>
        <v/>
      </c>
      <c r="DO13" s="127"/>
      <c r="DP13" s="127"/>
      <c r="DQ13" s="127"/>
      <c r="DR13" s="21"/>
      <c r="DS13" s="4"/>
      <c r="DW13" s="27"/>
      <c r="DX13" s="56" t="s">
        <v>78</v>
      </c>
      <c r="DY13" s="56"/>
      <c r="DZ13" s="81">
        <f>BX13</f>
        <v>0</v>
      </c>
      <c r="EA13" s="81">
        <f>BX19</f>
        <v>1</v>
      </c>
      <c r="EB13" s="81">
        <f>BX21</f>
        <v>1</v>
      </c>
      <c r="EC13" s="81">
        <f>BX9</f>
        <v>0</v>
      </c>
      <c r="ED13" s="81">
        <f>BX17</f>
        <v>0</v>
      </c>
      <c r="EE13" s="81">
        <f>BX5</f>
        <v>2</v>
      </c>
      <c r="EF13" s="81">
        <f>BX15</f>
        <v>2</v>
      </c>
      <c r="EG13" s="81">
        <f>BX11</f>
        <v>1</v>
      </c>
      <c r="EH13" s="81">
        <f>BX7</f>
        <v>3</v>
      </c>
      <c r="EI13" s="59"/>
      <c r="EJ13" s="61"/>
      <c r="EK13" s="62" t="s">
        <v>86</v>
      </c>
      <c r="EL13" s="63"/>
      <c r="EM13" s="64">
        <f>ED19</f>
        <v>4</v>
      </c>
      <c r="EN13" s="65"/>
      <c r="EO13" s="26"/>
      <c r="EU13" s="54" t="str">
        <f>EK21</f>
        <v>Specialist</v>
      </c>
      <c r="EV13" s="54">
        <f>EM21</f>
        <v>11</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v>3</v>
      </c>
      <c r="J15" s="124" t="str">
        <f>IF(I11=0,"THANK YOU, YOU MAY CONTINUE","")</f>
        <v>THANK YOU, YOU MAY CONTINUE</v>
      </c>
      <c r="K15" s="124"/>
      <c r="L15" s="124"/>
      <c r="M15" s="124"/>
      <c r="S15" s="18"/>
      <c r="T15" s="19" t="s">
        <v>18</v>
      </c>
      <c r="U15" s="19"/>
      <c r="V15" s="41">
        <v>2</v>
      </c>
      <c r="W15" s="18"/>
      <c r="X15" s="18"/>
      <c r="Y15" s="18"/>
      <c r="Z15" s="18"/>
      <c r="AA15" s="18"/>
      <c r="AB15" s="124" t="str">
        <f>IF(AA11=0,"THANK YOU, YOU MAY CONTINUE","")</f>
        <v>THANK YOU, YOU MAY CONTINUE</v>
      </c>
      <c r="AC15" s="124"/>
      <c r="AD15" s="124"/>
      <c r="AE15" s="124"/>
      <c r="AF15" s="20"/>
      <c r="AG15" s="18"/>
      <c r="AJ15" s="18"/>
      <c r="AK15" s="18"/>
      <c r="AL15" s="19" t="s">
        <v>28</v>
      </c>
      <c r="AM15" s="19"/>
      <c r="AN15" s="41">
        <v>3</v>
      </c>
      <c r="AO15" s="18"/>
      <c r="AP15" s="18"/>
      <c r="AQ15" s="18"/>
      <c r="AR15" s="18"/>
      <c r="AS15" s="18"/>
      <c r="AT15" s="124" t="str">
        <f>IF(AS11=0,"THANK YOU, YOU MAY CONTINUE","")</f>
        <v>THANK YOU, YOU MAY CONTINUE</v>
      </c>
      <c r="AU15" s="124"/>
      <c r="AV15" s="124"/>
      <c r="AW15" s="124"/>
      <c r="AX15" s="20"/>
      <c r="AY15" s="18"/>
      <c r="BB15" s="18"/>
      <c r="BC15" s="18"/>
      <c r="BD15" s="19" t="s">
        <v>38</v>
      </c>
      <c r="BE15" s="19"/>
      <c r="BF15" s="41"/>
      <c r="BG15" s="18"/>
      <c r="BH15" s="18"/>
      <c r="BI15" s="18"/>
      <c r="BJ15" s="18"/>
      <c r="BK15" s="18"/>
      <c r="BL15" s="124" t="str">
        <f>IF(BK11=0,"THANK YOU, YOU MAY CONTINUE","")</f>
        <v>THANK YOU, YOU MAY CONTINUE</v>
      </c>
      <c r="BM15" s="124"/>
      <c r="BN15" s="124"/>
      <c r="BO15" s="124"/>
      <c r="BP15" s="20"/>
      <c r="BQ15" s="18"/>
      <c r="BT15" s="18"/>
      <c r="BU15" s="18"/>
      <c r="BV15" s="19" t="s">
        <v>48</v>
      </c>
      <c r="BW15" s="19"/>
      <c r="BX15" s="41">
        <v>2</v>
      </c>
      <c r="BY15" s="18"/>
      <c r="BZ15" s="18"/>
      <c r="CA15" s="18"/>
      <c r="CB15" s="18"/>
      <c r="CC15" s="18"/>
      <c r="CD15" s="124" t="str">
        <f>IF(CC11=0,"THANK YOU, YOU MAY CONTINUE","")</f>
        <v>THANK YOU, YOU MAY CONTINUE</v>
      </c>
      <c r="CE15" s="124"/>
      <c r="CF15" s="124"/>
      <c r="CG15" s="124"/>
      <c r="CH15" s="20"/>
      <c r="CI15" s="18"/>
      <c r="CL15" s="18"/>
      <c r="CM15" s="18"/>
      <c r="CN15" s="19" t="s">
        <v>58</v>
      </c>
      <c r="CO15" s="19"/>
      <c r="CP15" s="41">
        <v>2</v>
      </c>
      <c r="CQ15" s="18"/>
      <c r="CR15" s="18"/>
      <c r="CS15" s="18"/>
      <c r="CT15" s="18"/>
      <c r="CU15" s="18"/>
      <c r="CV15" s="124" t="str">
        <f>IF(CU11=0,"THANK YOU, YOU MAY CONTINUE","")</f>
        <v>THANK YOU, YOU MAY CONTINUE</v>
      </c>
      <c r="CW15" s="124"/>
      <c r="CX15" s="124"/>
      <c r="CY15" s="124"/>
      <c r="CZ15" s="20"/>
      <c r="DA15" s="18"/>
      <c r="DD15" s="4"/>
      <c r="DE15" s="4"/>
      <c r="DF15" s="15" t="s">
        <v>68</v>
      </c>
      <c r="DG15" s="15"/>
      <c r="DH15" s="41">
        <v>1</v>
      </c>
      <c r="DI15" s="4"/>
      <c r="DJ15" s="4"/>
      <c r="DK15" s="4"/>
      <c r="DL15" s="4"/>
      <c r="DM15" s="4"/>
      <c r="DN15" s="124" t="str">
        <f>IF(DM11=0,"THANK YOU, YOU MAY CONTINUE","")</f>
        <v>THANK YOU, YOU MAY CONTINUE</v>
      </c>
      <c r="DO15" s="124"/>
      <c r="DP15" s="124"/>
      <c r="DQ15" s="124"/>
      <c r="DR15" s="21"/>
      <c r="DS15" s="4"/>
      <c r="DX15" s="56" t="s">
        <v>79</v>
      </c>
      <c r="DY15" s="56"/>
      <c r="DZ15" s="81">
        <f>CP7</f>
        <v>0</v>
      </c>
      <c r="EA15" s="81">
        <f>CP13</f>
        <v>1</v>
      </c>
      <c r="EB15" s="81">
        <f>CP17</f>
        <v>1</v>
      </c>
      <c r="EC15" s="81">
        <f>CP15</f>
        <v>2</v>
      </c>
      <c r="ED15" s="81">
        <f>CP9</f>
        <v>4</v>
      </c>
      <c r="EE15" s="81">
        <f>CP11</f>
        <v>1</v>
      </c>
      <c r="EF15" s="81">
        <f>CP21</f>
        <v>1</v>
      </c>
      <c r="EG15" s="81">
        <f>CP19</f>
        <v>0</v>
      </c>
      <c r="EH15" s="81">
        <f>CP5</f>
        <v>0</v>
      </c>
      <c r="EI15" s="59"/>
      <c r="EJ15" s="61"/>
      <c r="EK15" s="74" t="s">
        <v>87</v>
      </c>
      <c r="EL15" s="75"/>
      <c r="EM15" s="64">
        <f>EE19</f>
        <v>8</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v>1</v>
      </c>
      <c r="J17" s="124"/>
      <c r="K17" s="124"/>
      <c r="L17" s="124"/>
      <c r="M17" s="124"/>
      <c r="S17" s="18"/>
      <c r="T17" s="19" t="s">
        <v>19</v>
      </c>
      <c r="U17" s="19"/>
      <c r="V17" s="41">
        <v>2</v>
      </c>
      <c r="W17" s="18"/>
      <c r="X17" s="18"/>
      <c r="Y17" s="18"/>
      <c r="Z17" s="18"/>
      <c r="AA17" s="18"/>
      <c r="AB17" s="124"/>
      <c r="AC17" s="124"/>
      <c r="AD17" s="124"/>
      <c r="AE17" s="124"/>
      <c r="AF17" s="20"/>
      <c r="AG17" s="18"/>
      <c r="AJ17" s="18"/>
      <c r="AK17" s="18"/>
      <c r="AL17" s="19" t="s">
        <v>29</v>
      </c>
      <c r="AM17" s="19"/>
      <c r="AN17" s="41">
        <v>2</v>
      </c>
      <c r="AO17" s="18"/>
      <c r="AP17" s="18"/>
      <c r="AQ17" s="18"/>
      <c r="AR17" s="18"/>
      <c r="AS17" s="18"/>
      <c r="AT17" s="124"/>
      <c r="AU17" s="124"/>
      <c r="AV17" s="124"/>
      <c r="AW17" s="124"/>
      <c r="AX17" s="20"/>
      <c r="AY17" s="18"/>
      <c r="BB17" s="18"/>
      <c r="BC17" s="18"/>
      <c r="BD17" s="19" t="s">
        <v>39</v>
      </c>
      <c r="BE17" s="19"/>
      <c r="BF17" s="41">
        <v>2</v>
      </c>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v>1</v>
      </c>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1</v>
      </c>
      <c r="EA17" s="81">
        <f>DH11</f>
        <v>2</v>
      </c>
      <c r="EB17" s="81">
        <f>DH5</f>
        <v>3</v>
      </c>
      <c r="EC17" s="81">
        <f>DH21</f>
        <v>1</v>
      </c>
      <c r="ED17" s="81">
        <f>DH13</f>
        <v>0</v>
      </c>
      <c r="EE17" s="81">
        <f>DH17</f>
        <v>0</v>
      </c>
      <c r="EF17" s="81">
        <f>DH7</f>
        <v>0</v>
      </c>
      <c r="EG17" s="81">
        <f>DH15</f>
        <v>1</v>
      </c>
      <c r="EH17" s="81">
        <f>DH9</f>
        <v>2</v>
      </c>
      <c r="EI17" s="59"/>
      <c r="EJ17" s="61"/>
      <c r="EK17" s="62" t="s">
        <v>88</v>
      </c>
      <c r="EL17" s="63"/>
      <c r="EM17" s="64">
        <f>EF19</f>
        <v>6</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v>2</v>
      </c>
      <c r="S19" s="18"/>
      <c r="T19" s="19" t="s">
        <v>20</v>
      </c>
      <c r="U19" s="19"/>
      <c r="V19" s="41">
        <v>1</v>
      </c>
      <c r="W19" s="18"/>
      <c r="X19" s="18"/>
      <c r="Y19" s="18"/>
      <c r="Z19" s="18"/>
      <c r="AA19" s="18"/>
      <c r="AB19" s="18"/>
      <c r="AC19" s="18"/>
      <c r="AD19" s="18"/>
      <c r="AE19" s="18"/>
      <c r="AF19" s="18"/>
      <c r="AG19" s="18"/>
      <c r="AJ19" s="18"/>
      <c r="AK19" s="18"/>
      <c r="AL19" s="19" t="s">
        <v>30</v>
      </c>
      <c r="AM19" s="19"/>
      <c r="AN19" s="41">
        <v>1</v>
      </c>
      <c r="AO19" s="18"/>
      <c r="AP19" s="18"/>
      <c r="AQ19" s="18"/>
      <c r="AR19" s="18"/>
      <c r="AS19" s="18"/>
      <c r="AT19" s="18"/>
      <c r="AU19" s="18"/>
      <c r="AV19" s="18"/>
      <c r="AW19" s="18"/>
      <c r="AX19" s="18"/>
      <c r="AY19" s="18"/>
      <c r="BB19" s="18"/>
      <c r="BC19" s="18"/>
      <c r="BD19" s="19" t="s">
        <v>40</v>
      </c>
      <c r="BE19" s="19"/>
      <c r="BF19" s="41">
        <v>1</v>
      </c>
      <c r="BG19" s="18"/>
      <c r="BH19" s="18"/>
      <c r="BI19" s="18"/>
      <c r="BJ19" s="18"/>
      <c r="BK19" s="18"/>
      <c r="BL19" s="18"/>
      <c r="BM19" s="18"/>
      <c r="BN19" s="18"/>
      <c r="BO19" s="18"/>
      <c r="BP19" s="18"/>
      <c r="BQ19" s="18"/>
      <c r="BT19" s="18"/>
      <c r="BU19" s="18"/>
      <c r="BV19" s="19" t="s">
        <v>50</v>
      </c>
      <c r="BW19" s="19"/>
      <c r="BX19" s="41">
        <v>1</v>
      </c>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v>1</v>
      </c>
      <c r="DI19" s="4"/>
      <c r="DJ19" s="4"/>
      <c r="DK19" s="4"/>
      <c r="DL19" s="4"/>
      <c r="DM19" s="4"/>
      <c r="DN19" s="4"/>
      <c r="DO19" s="4"/>
      <c r="DP19" s="4"/>
      <c r="DQ19" s="4"/>
      <c r="DR19" s="4"/>
      <c r="DS19" s="4"/>
      <c r="DX19" s="76" t="s">
        <v>73</v>
      </c>
      <c r="DY19" s="77"/>
      <c r="DZ19" s="78">
        <f t="shared" ref="DZ19:EH19" si="0">SUM(DZ5:DZ17)</f>
        <v>6</v>
      </c>
      <c r="EA19" s="78">
        <f t="shared" si="0"/>
        <v>7</v>
      </c>
      <c r="EB19" s="78">
        <f t="shared" si="0"/>
        <v>12</v>
      </c>
      <c r="EC19" s="78">
        <f t="shared" si="0"/>
        <v>8</v>
      </c>
      <c r="ED19" s="78">
        <f t="shared" si="0"/>
        <v>4</v>
      </c>
      <c r="EE19" s="78">
        <f t="shared" si="0"/>
        <v>8</v>
      </c>
      <c r="EF19" s="78">
        <f t="shared" si="0"/>
        <v>6</v>
      </c>
      <c r="EG19" s="78">
        <f t="shared" si="0"/>
        <v>8</v>
      </c>
      <c r="EH19" s="79">
        <f t="shared" si="0"/>
        <v>11</v>
      </c>
      <c r="EI19" s="109" t="str">
        <f>IF(SUM(DZ19:EH19)=70,"OK","Checksum NOK")</f>
        <v>OK</v>
      </c>
      <c r="EJ19" s="61"/>
      <c r="EK19" s="74" t="s">
        <v>89</v>
      </c>
      <c r="EL19" s="75"/>
      <c r="EM19" s="64">
        <f>EG19</f>
        <v>8</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v>1</v>
      </c>
      <c r="S21" s="18"/>
      <c r="T21" s="19" t="s">
        <v>21</v>
      </c>
      <c r="U21" s="19"/>
      <c r="V21" s="41"/>
      <c r="W21" s="18"/>
      <c r="X21" s="18"/>
      <c r="Y21" s="18"/>
      <c r="Z21" s="18"/>
      <c r="AA21" s="18"/>
      <c r="AB21" s="18"/>
      <c r="AC21" s="18"/>
      <c r="AD21" s="18"/>
      <c r="AE21" s="18"/>
      <c r="AF21" s="18"/>
      <c r="AG21" s="18"/>
      <c r="AJ21" s="18"/>
      <c r="AK21" s="18"/>
      <c r="AL21" s="19" t="s">
        <v>31</v>
      </c>
      <c r="AM21" s="19"/>
      <c r="AN21" s="41">
        <v>1</v>
      </c>
      <c r="AO21" s="18"/>
      <c r="AP21" s="18"/>
      <c r="AQ21" s="18"/>
      <c r="AR21" s="18"/>
      <c r="AS21" s="18"/>
      <c r="AT21" s="18"/>
      <c r="AU21" s="18"/>
      <c r="AV21" s="18"/>
      <c r="AW21" s="18"/>
      <c r="AX21" s="18"/>
      <c r="AY21" s="18"/>
      <c r="BB21" s="18"/>
      <c r="BC21" s="18"/>
      <c r="BD21" s="19" t="s">
        <v>41</v>
      </c>
      <c r="BE21" s="19"/>
      <c r="BF21" s="41">
        <v>2</v>
      </c>
      <c r="BG21" s="18"/>
      <c r="BH21" s="18"/>
      <c r="BI21" s="18"/>
      <c r="BJ21" s="18"/>
      <c r="BK21" s="18"/>
      <c r="BL21" s="18"/>
      <c r="BM21" s="18"/>
      <c r="BN21" s="18"/>
      <c r="BO21" s="18"/>
      <c r="BP21" s="18"/>
      <c r="BQ21" s="18"/>
      <c r="BT21" s="18"/>
      <c r="BU21" s="18"/>
      <c r="BV21" s="19" t="s">
        <v>51</v>
      </c>
      <c r="BW21" s="19"/>
      <c r="BX21" s="41">
        <v>1</v>
      </c>
      <c r="BY21" s="18"/>
      <c r="BZ21" s="18"/>
      <c r="CA21" s="18"/>
      <c r="CB21" s="18"/>
      <c r="CC21" s="18"/>
      <c r="CD21" s="18"/>
      <c r="CE21" s="18"/>
      <c r="CF21" s="18"/>
      <c r="CG21" s="18"/>
      <c r="CH21" s="18"/>
      <c r="CI21" s="18"/>
      <c r="CL21" s="18"/>
      <c r="CM21" s="18"/>
      <c r="CN21" s="19" t="s">
        <v>61</v>
      </c>
      <c r="CO21" s="19"/>
      <c r="CP21" s="41">
        <v>1</v>
      </c>
      <c r="CQ21" s="18"/>
      <c r="CR21" s="18"/>
      <c r="CS21" s="18"/>
      <c r="CT21" s="18"/>
      <c r="CU21" s="18"/>
      <c r="CV21" s="18"/>
      <c r="CW21" s="18"/>
      <c r="CX21" s="18"/>
      <c r="CY21" s="18"/>
      <c r="CZ21" s="18"/>
      <c r="DA21" s="18"/>
      <c r="DD21" s="4"/>
      <c r="DE21" s="4"/>
      <c r="DF21" s="15" t="s">
        <v>71</v>
      </c>
      <c r="DG21" s="15"/>
      <c r="DH21" s="41">
        <v>1</v>
      </c>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11</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31"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9">
    <pageSetUpPr fitToPage="1"/>
  </sheetPr>
  <dimension ref="A1:GL53"/>
  <sheetViews>
    <sheetView topLeftCell="DW1" zoomScale="115" zoomScaleNormal="115" workbookViewId="0">
      <selection activeCell="DH7" sqref="DH7"/>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",Start!C2)</f>
        <v>Results Belbin test per section of 2</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Start!C2</f>
        <v>2</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v>1</v>
      </c>
      <c r="W5" s="18"/>
      <c r="X5" s="135" t="s">
        <v>2</v>
      </c>
      <c r="Y5" s="136"/>
      <c r="Z5" s="136"/>
      <c r="AA5" s="136"/>
      <c r="AB5" s="136"/>
      <c r="AC5" s="136"/>
      <c r="AD5" s="136"/>
      <c r="AE5" s="136"/>
      <c r="AF5" s="136"/>
      <c r="AG5" s="18"/>
      <c r="AJ5" s="18"/>
      <c r="AK5" s="18"/>
      <c r="AL5" s="19" t="s">
        <v>23</v>
      </c>
      <c r="AM5" s="19"/>
      <c r="AN5" s="41">
        <v>1</v>
      </c>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v>0</v>
      </c>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v>3</v>
      </c>
      <c r="DI5" s="4"/>
      <c r="DJ5" s="135" t="s">
        <v>2</v>
      </c>
      <c r="DK5" s="136"/>
      <c r="DL5" s="136"/>
      <c r="DM5" s="136"/>
      <c r="DN5" s="136"/>
      <c r="DO5" s="136"/>
      <c r="DP5" s="136"/>
      <c r="DQ5" s="136"/>
      <c r="DR5" s="136"/>
      <c r="DS5" s="4"/>
      <c r="DW5" s="27"/>
      <c r="DX5" s="56" t="s">
        <v>74</v>
      </c>
      <c r="DY5" s="56"/>
      <c r="DZ5" s="80">
        <f>D9</f>
        <v>2</v>
      </c>
      <c r="EA5" s="80">
        <f>D13</f>
        <v>1</v>
      </c>
      <c r="EB5" s="80">
        <f>D21</f>
        <v>1</v>
      </c>
      <c r="EC5" s="80">
        <f>D19</f>
        <v>1</v>
      </c>
      <c r="ED5" s="80">
        <f>D5</f>
        <v>0</v>
      </c>
      <c r="EE5" s="80">
        <f>D17</f>
        <v>0</v>
      </c>
      <c r="EF5" s="80">
        <f>D7</f>
        <v>2</v>
      </c>
      <c r="EG5" s="80">
        <f>D11</f>
        <v>0</v>
      </c>
      <c r="EH5" s="80">
        <f>D15</f>
        <v>3</v>
      </c>
      <c r="EI5" s="59"/>
      <c r="EJ5" s="61"/>
      <c r="EK5" s="62" t="s">
        <v>82</v>
      </c>
      <c r="EL5" s="63"/>
      <c r="EM5" s="64">
        <f>DZ19</f>
        <v>9</v>
      </c>
      <c r="EN5" s="65"/>
      <c r="EO5" s="26"/>
      <c r="EU5" s="54" t="str">
        <f>EK5</f>
        <v>Implementor</v>
      </c>
      <c r="EV5" s="54">
        <f>EM5</f>
        <v>9</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5</v>
      </c>
    </row>
    <row r="7" spans="1:194" s="17" customFormat="1" ht="31.9" customHeight="1" thickTop="1" thickBot="1" x14ac:dyDescent="0.3">
      <c r="B7" s="16" t="s">
        <v>3</v>
      </c>
      <c r="C7" s="16"/>
      <c r="D7" s="41">
        <v>2</v>
      </c>
      <c r="F7" s="134"/>
      <c r="G7" s="134"/>
      <c r="H7" s="134"/>
      <c r="I7" s="134"/>
      <c r="J7" s="134"/>
      <c r="K7" s="134"/>
      <c r="L7" s="134"/>
      <c r="M7" s="134"/>
      <c r="N7" s="134"/>
      <c r="S7" s="18"/>
      <c r="T7" s="19" t="s">
        <v>14</v>
      </c>
      <c r="U7" s="19"/>
      <c r="V7" s="41">
        <v>1</v>
      </c>
      <c r="W7" s="18"/>
      <c r="X7" s="136"/>
      <c r="Y7" s="136"/>
      <c r="Z7" s="136"/>
      <c r="AA7" s="136"/>
      <c r="AB7" s="136"/>
      <c r="AC7" s="136"/>
      <c r="AD7" s="136"/>
      <c r="AE7" s="136"/>
      <c r="AF7" s="136"/>
      <c r="AG7" s="18"/>
      <c r="AJ7" s="18"/>
      <c r="AK7" s="18"/>
      <c r="AL7" s="19" t="s">
        <v>24</v>
      </c>
      <c r="AM7" s="19"/>
      <c r="AN7" s="41">
        <v>1</v>
      </c>
      <c r="AO7" s="18"/>
      <c r="AP7" s="136"/>
      <c r="AQ7" s="136"/>
      <c r="AR7" s="136"/>
      <c r="AS7" s="136"/>
      <c r="AT7" s="136"/>
      <c r="AU7" s="136"/>
      <c r="AV7" s="136"/>
      <c r="AW7" s="136"/>
      <c r="AX7" s="136"/>
      <c r="AY7" s="18"/>
      <c r="BB7" s="18"/>
      <c r="BC7" s="18"/>
      <c r="BD7" s="19" t="s">
        <v>34</v>
      </c>
      <c r="BE7" s="19"/>
      <c r="BF7" s="41">
        <v>2</v>
      </c>
      <c r="BG7" s="18"/>
      <c r="BH7" s="136"/>
      <c r="BI7" s="136"/>
      <c r="BJ7" s="136"/>
      <c r="BK7" s="136"/>
      <c r="BL7" s="136"/>
      <c r="BM7" s="136"/>
      <c r="BN7" s="136"/>
      <c r="BO7" s="136"/>
      <c r="BP7" s="136"/>
      <c r="BQ7" s="18"/>
      <c r="BT7" s="18"/>
      <c r="BU7" s="18"/>
      <c r="BV7" s="19" t="s">
        <v>44</v>
      </c>
      <c r="BW7" s="19"/>
      <c r="BX7" s="41">
        <v>2</v>
      </c>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1</v>
      </c>
      <c r="EA7" s="81">
        <f>V17</f>
        <v>1</v>
      </c>
      <c r="EB7" s="81">
        <f>V15</f>
        <v>3</v>
      </c>
      <c r="EC7" s="81">
        <f>V11</f>
        <v>1</v>
      </c>
      <c r="ED7" s="81">
        <f>V21</f>
        <v>0</v>
      </c>
      <c r="EE7" s="81">
        <f>V7</f>
        <v>1</v>
      </c>
      <c r="EF7" s="81">
        <f>V9</f>
        <v>0</v>
      </c>
      <c r="EG7" s="81">
        <f>V13</f>
        <v>2</v>
      </c>
      <c r="EH7" s="81">
        <f>V19</f>
        <v>1</v>
      </c>
      <c r="EI7" s="59"/>
      <c r="EJ7" s="61"/>
      <c r="EK7" s="74" t="s">
        <v>83</v>
      </c>
      <c r="EL7" s="75"/>
      <c r="EM7" s="64">
        <f>EA19</f>
        <v>5</v>
      </c>
      <c r="EN7" s="65"/>
      <c r="EO7" s="26"/>
      <c r="EU7" s="54" t="str">
        <f>EK9</f>
        <v>Shaper</v>
      </c>
      <c r="EV7" s="54">
        <f>EM9</f>
        <v>14</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8</v>
      </c>
    </row>
    <row r="9" spans="1:194" s="17" customFormat="1" ht="31.9" customHeight="1" thickTop="1" thickBot="1" x14ac:dyDescent="0.3">
      <c r="B9" s="16" t="s">
        <v>4</v>
      </c>
      <c r="C9" s="16"/>
      <c r="D9" s="41">
        <v>2</v>
      </c>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
      </c>
      <c r="AU9" s="128"/>
      <c r="AV9" s="128"/>
      <c r="AW9" s="128"/>
      <c r="AX9" s="18"/>
      <c r="AY9" s="18"/>
      <c r="BB9" s="18"/>
      <c r="BC9" s="18"/>
      <c r="BD9" s="19" t="s">
        <v>35</v>
      </c>
      <c r="BE9" s="19"/>
      <c r="BF9" s="41">
        <v>2</v>
      </c>
      <c r="BG9" s="18"/>
      <c r="BH9" s="18"/>
      <c r="BI9" s="18"/>
      <c r="BJ9" s="18"/>
      <c r="BK9" s="18"/>
      <c r="BL9" s="18"/>
      <c r="BM9" s="18"/>
      <c r="BN9" s="18"/>
      <c r="BO9" s="18"/>
      <c r="BP9" s="18"/>
      <c r="BQ9" s="18"/>
      <c r="BT9" s="18"/>
      <c r="BU9" s="18"/>
      <c r="BV9" s="19" t="s">
        <v>45</v>
      </c>
      <c r="BW9" s="19"/>
      <c r="BX9" s="41">
        <v>1</v>
      </c>
      <c r="BY9" s="18"/>
      <c r="BZ9" s="18"/>
      <c r="CA9" s="18"/>
      <c r="CB9" s="18"/>
      <c r="CC9" s="18"/>
      <c r="CD9" s="18"/>
      <c r="CE9" s="18"/>
      <c r="CF9" s="18"/>
      <c r="CG9" s="18"/>
      <c r="CH9" s="18"/>
      <c r="CI9" s="18"/>
      <c r="CL9" s="18"/>
      <c r="CM9" s="18"/>
      <c r="CN9" s="19" t="s">
        <v>55</v>
      </c>
      <c r="CO9" s="19"/>
      <c r="CP9" s="41">
        <v>3</v>
      </c>
      <c r="CQ9" s="18"/>
      <c r="CR9" s="18"/>
      <c r="CS9" s="18"/>
      <c r="CT9" s="18"/>
      <c r="CU9" s="18"/>
      <c r="CV9" s="18"/>
      <c r="CW9" s="18"/>
      <c r="CX9" s="18"/>
      <c r="CY9" s="18"/>
      <c r="CZ9" s="18"/>
      <c r="DA9" s="18"/>
      <c r="DD9" s="4"/>
      <c r="DE9" s="4"/>
      <c r="DF9" s="15" t="s">
        <v>65</v>
      </c>
      <c r="DG9" s="15"/>
      <c r="DH9" s="41">
        <v>4</v>
      </c>
      <c r="DI9" s="4"/>
      <c r="DJ9" s="4"/>
      <c r="DK9" s="4"/>
      <c r="DL9" s="4"/>
      <c r="DM9" s="4"/>
      <c r="DN9" s="4"/>
      <c r="DO9" s="4"/>
      <c r="DP9" s="4"/>
      <c r="DQ9" s="4"/>
      <c r="DR9" s="4"/>
      <c r="DS9" s="4"/>
      <c r="DW9" s="27"/>
      <c r="DX9" s="56" t="s">
        <v>76</v>
      </c>
      <c r="DY9" s="56"/>
      <c r="DZ9" s="81">
        <f>AN21</f>
        <v>3</v>
      </c>
      <c r="EA9" s="81">
        <f>AN9</f>
        <v>0</v>
      </c>
      <c r="EB9" s="81">
        <f>AN19</f>
        <v>1</v>
      </c>
      <c r="EC9" s="81">
        <f>AN5</f>
        <v>1</v>
      </c>
      <c r="ED9" s="81">
        <f>AN11</f>
        <v>0</v>
      </c>
      <c r="EE9" s="81">
        <f>AN15</f>
        <v>2</v>
      </c>
      <c r="EF9" s="81">
        <f>AN17</f>
        <v>2</v>
      </c>
      <c r="EG9" s="81">
        <f>AN7</f>
        <v>1</v>
      </c>
      <c r="EH9" s="81">
        <f>AN13</f>
        <v>0</v>
      </c>
      <c r="EI9" s="59"/>
      <c r="EJ9" s="61"/>
      <c r="EK9" s="62" t="s">
        <v>84</v>
      </c>
      <c r="EL9" s="63"/>
      <c r="EM9" s="64">
        <f>EB19</f>
        <v>14</v>
      </c>
      <c r="EN9" s="65"/>
      <c r="EO9" s="26"/>
      <c r="EU9" s="54" t="str">
        <f>EK13</f>
        <v>Resource Investigator</v>
      </c>
      <c r="EV9" s="54">
        <f>EM13</f>
        <v>4</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5</v>
      </c>
    </row>
    <row r="11" spans="1:194" s="17" customFormat="1" ht="31.9" customHeight="1" thickTop="1" thickBot="1" x14ac:dyDescent="0.3">
      <c r="B11" s="16" t="s">
        <v>5</v>
      </c>
      <c r="C11" s="16"/>
      <c r="D11" s="41"/>
      <c r="F11" s="129" t="s">
        <v>6</v>
      </c>
      <c r="G11" s="129"/>
      <c r="I11" s="22">
        <f>10-SUM(D5,D7,D9,D11,D13,D15,D17,D19,D21)</f>
        <v>0</v>
      </c>
      <c r="J11" s="126" t="str">
        <f>IF(I11&lt;0,"TOO MANY POINTS!","")</f>
        <v/>
      </c>
      <c r="K11" s="126"/>
      <c r="L11" s="126"/>
      <c r="M11" s="126"/>
      <c r="S11" s="18"/>
      <c r="T11" s="19" t="s">
        <v>16</v>
      </c>
      <c r="U11" s="19"/>
      <c r="V11" s="41">
        <v>1</v>
      </c>
      <c r="W11" s="18"/>
      <c r="X11" s="125" t="s">
        <v>6</v>
      </c>
      <c r="Y11" s="125"/>
      <c r="Z11" s="18"/>
      <c r="AA11" s="23">
        <f>10-SUM(V5,V7,V9,V11,V13,V15,V17,V19,V21)</f>
        <v>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0</v>
      </c>
      <c r="AT11" s="126" t="str">
        <f>IF(AS11&lt;0,"TOO MANY POINTS!","")</f>
        <v/>
      </c>
      <c r="AU11" s="126"/>
      <c r="AV11" s="126"/>
      <c r="AW11" s="126"/>
      <c r="AX11" s="20"/>
      <c r="AY11" s="18"/>
      <c r="BB11" s="18"/>
      <c r="BC11" s="18"/>
      <c r="BD11" s="19" t="s">
        <v>36</v>
      </c>
      <c r="BE11" s="19"/>
      <c r="BF11" s="41">
        <v>1</v>
      </c>
      <c r="BG11" s="18"/>
      <c r="BH11" s="125" t="s">
        <v>6</v>
      </c>
      <c r="BI11" s="125"/>
      <c r="BJ11" s="18"/>
      <c r="BK11" s="23">
        <f>10-SUM(BF5,BF7,BF9,BF11,BF13,BF15,BF17,BF19,BF21)</f>
        <v>0</v>
      </c>
      <c r="BL11" s="126" t="str">
        <f>IF(BK11&lt;0,"TOO MANY POINTS!","")</f>
        <v/>
      </c>
      <c r="BM11" s="126"/>
      <c r="BN11" s="126"/>
      <c r="BO11" s="126"/>
      <c r="BP11" s="20"/>
      <c r="BQ11" s="18"/>
      <c r="BT11" s="18"/>
      <c r="BU11" s="18"/>
      <c r="BV11" s="19" t="s">
        <v>46</v>
      </c>
      <c r="BW11" s="19"/>
      <c r="BX11" s="41">
        <v>1</v>
      </c>
      <c r="BY11" s="18"/>
      <c r="BZ11" s="125" t="s">
        <v>6</v>
      </c>
      <c r="CA11" s="125"/>
      <c r="CB11" s="18"/>
      <c r="CC11" s="23">
        <f>10-SUM(BX5,BX7,BX9,BX11,BX13,BX15,BX17,BX19,BX21)</f>
        <v>0</v>
      </c>
      <c r="CD11" s="126" t="str">
        <f>IF(CC11&lt;0,"TOO MANY POINTS!","")</f>
        <v/>
      </c>
      <c r="CE11" s="126"/>
      <c r="CF11" s="126"/>
      <c r="CG11" s="126"/>
      <c r="CH11" s="20"/>
      <c r="CI11" s="18"/>
      <c r="CL11" s="18"/>
      <c r="CM11" s="18"/>
      <c r="CN11" s="19" t="s">
        <v>56</v>
      </c>
      <c r="CO11" s="19"/>
      <c r="CP11" s="41">
        <v>1</v>
      </c>
      <c r="CQ11" s="18"/>
      <c r="CR11" s="125" t="s">
        <v>6</v>
      </c>
      <c r="CS11" s="125"/>
      <c r="CT11" s="18"/>
      <c r="CU11" s="23">
        <f>10-SUM(CP5,CP7,CP9,CP11,CP13,CP15,CP17,CP19,CP21)</f>
        <v>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0</v>
      </c>
      <c r="DN11" s="126" t="str">
        <f>IF(DM11&lt;0,"TOO MANY POINTS!","")</f>
        <v/>
      </c>
      <c r="DO11" s="126"/>
      <c r="DP11" s="126"/>
      <c r="DQ11" s="126"/>
      <c r="DR11" s="21"/>
      <c r="DS11" s="4"/>
      <c r="DW11" s="27"/>
      <c r="DX11" s="56" t="s">
        <v>77</v>
      </c>
      <c r="DY11" s="56"/>
      <c r="DZ11" s="81">
        <f>BF11</f>
        <v>1</v>
      </c>
      <c r="EA11" s="81">
        <f>BF7</f>
        <v>2</v>
      </c>
      <c r="EB11" s="81">
        <f>BF9</f>
        <v>2</v>
      </c>
      <c r="EC11" s="81">
        <f>BF13</f>
        <v>0</v>
      </c>
      <c r="ED11" s="81">
        <f>BF15</f>
        <v>0</v>
      </c>
      <c r="EE11" s="81">
        <f>BF19</f>
        <v>1</v>
      </c>
      <c r="EF11" s="81">
        <f>BF5</f>
        <v>0</v>
      </c>
      <c r="EG11" s="81">
        <f>BF17</f>
        <v>3</v>
      </c>
      <c r="EH11" s="81">
        <f>BF21</f>
        <v>1</v>
      </c>
      <c r="EI11" s="59"/>
      <c r="EJ11" s="61"/>
      <c r="EK11" s="74" t="s">
        <v>85</v>
      </c>
      <c r="EL11" s="75"/>
      <c r="EM11" s="64">
        <f>EC19</f>
        <v>8</v>
      </c>
      <c r="EN11" s="65"/>
      <c r="EO11" s="26"/>
      <c r="EU11" s="54" t="str">
        <f>EK17</f>
        <v>Team Worker</v>
      </c>
      <c r="EV11" s="54">
        <f>EM17</f>
        <v>6</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8</v>
      </c>
    </row>
    <row r="13" spans="1:194" s="17" customFormat="1" ht="31.9" customHeight="1" thickTop="1" thickBot="1" x14ac:dyDescent="0.3">
      <c r="B13" s="16" t="s">
        <v>7</v>
      </c>
      <c r="C13" s="16"/>
      <c r="D13" s="41">
        <v>1</v>
      </c>
      <c r="J13" s="127" t="str">
        <f>IF(I11&gt;0,"YOU HAVE NOT USED ALL OF YOUR POINTS YET","")</f>
        <v/>
      </c>
      <c r="K13" s="127"/>
      <c r="L13" s="127"/>
      <c r="M13" s="127"/>
      <c r="S13" s="18"/>
      <c r="T13" s="19" t="s">
        <v>17</v>
      </c>
      <c r="U13" s="19"/>
      <c r="V13" s="41">
        <v>2</v>
      </c>
      <c r="W13" s="18"/>
      <c r="X13" s="18"/>
      <c r="Y13" s="18"/>
      <c r="Z13" s="18"/>
      <c r="AA13" s="18"/>
      <c r="AB13" s="127" t="str">
        <f>IF(AA11&gt;0,"YOU HAVE NOT USED ALL OF YOUR POINTS YET","")</f>
        <v/>
      </c>
      <c r="AC13" s="127"/>
      <c r="AD13" s="127"/>
      <c r="AE13" s="127"/>
      <c r="AF13" s="20"/>
      <c r="AG13" s="18"/>
      <c r="AJ13" s="18"/>
      <c r="AK13" s="18"/>
      <c r="AL13" s="19" t="s">
        <v>27</v>
      </c>
      <c r="AM13" s="19"/>
      <c r="AN13" s="41"/>
      <c r="AO13" s="18"/>
      <c r="AP13" s="18"/>
      <c r="AQ13" s="18"/>
      <c r="AR13" s="18"/>
      <c r="AS13" s="18"/>
      <c r="AT13" s="127" t="str">
        <f>IF(AS11&gt;0,"YOU HAVE NOT USED ALL OF YOUR POINTS YET","")</f>
        <v/>
      </c>
      <c r="AU13" s="127"/>
      <c r="AV13" s="127"/>
      <c r="AW13" s="127"/>
      <c r="AX13" s="20"/>
      <c r="AY13" s="18"/>
      <c r="BB13" s="18"/>
      <c r="BC13" s="18"/>
      <c r="BD13" s="19" t="s">
        <v>37</v>
      </c>
      <c r="BE13" s="19"/>
      <c r="BF13" s="41"/>
      <c r="BG13" s="18"/>
      <c r="BH13" s="18"/>
      <c r="BI13" s="18"/>
      <c r="BJ13" s="18"/>
      <c r="BK13" s="18"/>
      <c r="BL13" s="127" t="str">
        <f>IF(BK11&gt;0,"YOU HAVE NOT USED ALL OF YOUR POINTS YET","")</f>
        <v/>
      </c>
      <c r="BM13" s="127"/>
      <c r="BN13" s="127"/>
      <c r="BO13" s="127"/>
      <c r="BP13" s="20"/>
      <c r="BQ13" s="18"/>
      <c r="BT13" s="18"/>
      <c r="BU13" s="18"/>
      <c r="BV13" s="19" t="s">
        <v>47</v>
      </c>
      <c r="BW13" s="19"/>
      <c r="BX13" s="41">
        <v>1</v>
      </c>
      <c r="BY13" s="18"/>
      <c r="BZ13" s="18"/>
      <c r="CA13" s="18"/>
      <c r="CB13" s="18"/>
      <c r="CC13" s="18"/>
      <c r="CD13" s="127" t="str">
        <f>IF(CC11&gt;0,"YOU HAVE NOT USED ALL OF YOUR POINTS YET","")</f>
        <v/>
      </c>
      <c r="CE13" s="127"/>
      <c r="CF13" s="127"/>
      <c r="CG13" s="127"/>
      <c r="CH13" s="20"/>
      <c r="CI13" s="18"/>
      <c r="CL13" s="18"/>
      <c r="CM13" s="18"/>
      <c r="CN13" s="19" t="s">
        <v>57</v>
      </c>
      <c r="CO13" s="19"/>
      <c r="CP13" s="41"/>
      <c r="CQ13" s="18"/>
      <c r="CR13" s="18"/>
      <c r="CS13" s="18"/>
      <c r="CT13" s="18"/>
      <c r="CU13" s="18"/>
      <c r="CV13" s="127" t="str">
        <f>IF(CU11&gt;0,"YOU HAVE NOT USED ALL OF YOUR POINTS YET","")</f>
        <v/>
      </c>
      <c r="CW13" s="127"/>
      <c r="CX13" s="127"/>
      <c r="CY13" s="127"/>
      <c r="CZ13" s="20"/>
      <c r="DA13" s="18"/>
      <c r="DD13" s="4"/>
      <c r="DE13" s="4"/>
      <c r="DF13" s="15" t="s">
        <v>67</v>
      </c>
      <c r="DG13" s="15"/>
      <c r="DH13" s="41"/>
      <c r="DI13" s="4"/>
      <c r="DJ13" s="4"/>
      <c r="DK13" s="4"/>
      <c r="DL13" s="4"/>
      <c r="DM13" s="4"/>
      <c r="DN13" s="127" t="str">
        <f>IF(DM11&gt;0,"YOU HAVE NOT USED ALL OF YOUR POINTS YET","")</f>
        <v/>
      </c>
      <c r="DO13" s="127"/>
      <c r="DP13" s="127"/>
      <c r="DQ13" s="127"/>
      <c r="DR13" s="21"/>
      <c r="DS13" s="4"/>
      <c r="DW13" s="27"/>
      <c r="DX13" s="56" t="s">
        <v>78</v>
      </c>
      <c r="DY13" s="56"/>
      <c r="DZ13" s="81">
        <f>BX13</f>
        <v>1</v>
      </c>
      <c r="EA13" s="81">
        <f>BX19</f>
        <v>1</v>
      </c>
      <c r="EB13" s="81">
        <f>BX21</f>
        <v>2</v>
      </c>
      <c r="EC13" s="81">
        <f>BX9</f>
        <v>1</v>
      </c>
      <c r="ED13" s="81">
        <f>BX17</f>
        <v>1</v>
      </c>
      <c r="EE13" s="81">
        <f>BX5</f>
        <v>0</v>
      </c>
      <c r="EF13" s="81">
        <f>BX15</f>
        <v>1</v>
      </c>
      <c r="EG13" s="81">
        <f>BX11</f>
        <v>1</v>
      </c>
      <c r="EH13" s="81">
        <f>BX7</f>
        <v>2</v>
      </c>
      <c r="EI13" s="59"/>
      <c r="EJ13" s="61"/>
      <c r="EK13" s="62" t="s">
        <v>86</v>
      </c>
      <c r="EL13" s="63"/>
      <c r="EM13" s="64">
        <f>ED19</f>
        <v>4</v>
      </c>
      <c r="EN13" s="65"/>
      <c r="EO13" s="26"/>
      <c r="EU13" s="54" t="str">
        <f>EK21</f>
        <v>Specialist</v>
      </c>
      <c r="EV13" s="54">
        <f>EM21</f>
        <v>11</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v>3</v>
      </c>
      <c r="J15" s="124" t="str">
        <f>IF(I11=0,"THANK YOU, YOU MAY CONTINUE","")</f>
        <v>THANK YOU, YOU MAY CONTINUE</v>
      </c>
      <c r="K15" s="124"/>
      <c r="L15" s="124"/>
      <c r="M15" s="124"/>
      <c r="S15" s="18"/>
      <c r="T15" s="19" t="s">
        <v>18</v>
      </c>
      <c r="U15" s="19"/>
      <c r="V15" s="41">
        <v>3</v>
      </c>
      <c r="W15" s="18"/>
      <c r="X15" s="18"/>
      <c r="Y15" s="18"/>
      <c r="Z15" s="18"/>
      <c r="AA15" s="18"/>
      <c r="AB15" s="124" t="str">
        <f>IF(AA11=0,"THANK YOU, YOU MAY CONTINUE","")</f>
        <v>THANK YOU, YOU MAY CONTINUE</v>
      </c>
      <c r="AC15" s="124"/>
      <c r="AD15" s="124"/>
      <c r="AE15" s="124"/>
      <c r="AF15" s="20"/>
      <c r="AG15" s="18"/>
      <c r="AJ15" s="18"/>
      <c r="AK15" s="18"/>
      <c r="AL15" s="19" t="s">
        <v>28</v>
      </c>
      <c r="AM15" s="19"/>
      <c r="AN15" s="41">
        <v>2</v>
      </c>
      <c r="AO15" s="18"/>
      <c r="AP15" s="18"/>
      <c r="AQ15" s="18"/>
      <c r="AR15" s="18"/>
      <c r="AS15" s="18"/>
      <c r="AT15" s="124" t="str">
        <f>IF(AS11=0,"THANK YOU, YOU MAY CONTINUE","")</f>
        <v>THANK YOU, YOU MAY CONTINUE</v>
      </c>
      <c r="AU15" s="124"/>
      <c r="AV15" s="124"/>
      <c r="AW15" s="124"/>
      <c r="AX15" s="20"/>
      <c r="AY15" s="18"/>
      <c r="BB15" s="18"/>
      <c r="BC15" s="18"/>
      <c r="BD15" s="19" t="s">
        <v>38</v>
      </c>
      <c r="BE15" s="19"/>
      <c r="BF15" s="41"/>
      <c r="BG15" s="18"/>
      <c r="BH15" s="18"/>
      <c r="BI15" s="18"/>
      <c r="BJ15" s="18"/>
      <c r="BK15" s="18"/>
      <c r="BL15" s="124" t="str">
        <f>IF(BK11=0,"THANK YOU, YOU MAY CONTINUE","")</f>
        <v>THANK YOU, YOU MAY CONTINUE</v>
      </c>
      <c r="BM15" s="124"/>
      <c r="BN15" s="124"/>
      <c r="BO15" s="124"/>
      <c r="BP15" s="20"/>
      <c r="BQ15" s="18"/>
      <c r="BT15" s="18"/>
      <c r="BU15" s="18"/>
      <c r="BV15" s="19" t="s">
        <v>48</v>
      </c>
      <c r="BW15" s="19"/>
      <c r="BX15" s="41">
        <v>1</v>
      </c>
      <c r="BY15" s="18"/>
      <c r="BZ15" s="18"/>
      <c r="CA15" s="18"/>
      <c r="CB15" s="18"/>
      <c r="CC15" s="18"/>
      <c r="CD15" s="124" t="str">
        <f>IF(CC11=0,"THANK YOU, YOU MAY CONTINUE","")</f>
        <v>THANK YOU, YOU MAY CONTINUE</v>
      </c>
      <c r="CE15" s="124"/>
      <c r="CF15" s="124"/>
      <c r="CG15" s="124"/>
      <c r="CH15" s="20"/>
      <c r="CI15" s="18"/>
      <c r="CL15" s="18"/>
      <c r="CM15" s="18"/>
      <c r="CN15" s="19" t="s">
        <v>58</v>
      </c>
      <c r="CO15" s="19"/>
      <c r="CP15" s="41">
        <v>2</v>
      </c>
      <c r="CQ15" s="18"/>
      <c r="CR15" s="18"/>
      <c r="CS15" s="18"/>
      <c r="CT15" s="18"/>
      <c r="CU15" s="18"/>
      <c r="CV15" s="124" t="str">
        <f>IF(CU11=0,"THANK YOU, YOU MAY CONTINUE","")</f>
        <v>THANK YOU, YOU MAY CONTINUE</v>
      </c>
      <c r="CW15" s="124"/>
      <c r="CX15" s="124"/>
      <c r="CY15" s="124"/>
      <c r="CZ15" s="20"/>
      <c r="DA15" s="18"/>
      <c r="DD15" s="4"/>
      <c r="DE15" s="4"/>
      <c r="DF15" s="15" t="s">
        <v>68</v>
      </c>
      <c r="DG15" s="15"/>
      <c r="DH15" s="41"/>
      <c r="DI15" s="4"/>
      <c r="DJ15" s="4"/>
      <c r="DK15" s="4"/>
      <c r="DL15" s="4"/>
      <c r="DM15" s="4"/>
      <c r="DN15" s="124" t="str">
        <f>IF(DM11=0,"THANK YOU, YOU MAY CONTINUE","")</f>
        <v>THANK YOU, YOU MAY CONTINUE</v>
      </c>
      <c r="DO15" s="124"/>
      <c r="DP15" s="124"/>
      <c r="DQ15" s="124"/>
      <c r="DR15" s="21"/>
      <c r="DS15" s="4"/>
      <c r="DX15" s="56" t="s">
        <v>79</v>
      </c>
      <c r="DY15" s="56"/>
      <c r="DZ15" s="81">
        <f>CP7</f>
        <v>0</v>
      </c>
      <c r="EA15" s="81">
        <f>CP13</f>
        <v>0</v>
      </c>
      <c r="EB15" s="81">
        <f>CP17</f>
        <v>2</v>
      </c>
      <c r="EC15" s="81">
        <f>CP15</f>
        <v>2</v>
      </c>
      <c r="ED15" s="81">
        <f>CP9</f>
        <v>3</v>
      </c>
      <c r="EE15" s="81">
        <f>CP11</f>
        <v>1</v>
      </c>
      <c r="EF15" s="81">
        <f>CP21</f>
        <v>1</v>
      </c>
      <c r="EG15" s="81">
        <f>CP19</f>
        <v>1</v>
      </c>
      <c r="EH15" s="81">
        <f>CP5</f>
        <v>0</v>
      </c>
      <c r="EI15" s="59"/>
      <c r="EJ15" s="61"/>
      <c r="EK15" s="74" t="s">
        <v>87</v>
      </c>
      <c r="EL15" s="75"/>
      <c r="EM15" s="64">
        <f>EE19</f>
        <v>5</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c r="J17" s="124"/>
      <c r="K17" s="124"/>
      <c r="L17" s="124"/>
      <c r="M17" s="124"/>
      <c r="S17" s="18"/>
      <c r="T17" s="19" t="s">
        <v>19</v>
      </c>
      <c r="U17" s="19"/>
      <c r="V17" s="41">
        <v>1</v>
      </c>
      <c r="W17" s="18"/>
      <c r="X17" s="18"/>
      <c r="Y17" s="18"/>
      <c r="Z17" s="18"/>
      <c r="AA17" s="18"/>
      <c r="AB17" s="124"/>
      <c r="AC17" s="124"/>
      <c r="AD17" s="124"/>
      <c r="AE17" s="124"/>
      <c r="AF17" s="20"/>
      <c r="AG17" s="18"/>
      <c r="AJ17" s="18"/>
      <c r="AK17" s="18"/>
      <c r="AL17" s="19" t="s">
        <v>29</v>
      </c>
      <c r="AM17" s="19"/>
      <c r="AN17" s="41">
        <v>2</v>
      </c>
      <c r="AO17" s="18"/>
      <c r="AP17" s="18"/>
      <c r="AQ17" s="18"/>
      <c r="AR17" s="18"/>
      <c r="AS17" s="18"/>
      <c r="AT17" s="124"/>
      <c r="AU17" s="124"/>
      <c r="AV17" s="124"/>
      <c r="AW17" s="124"/>
      <c r="AX17" s="20"/>
      <c r="AY17" s="18"/>
      <c r="BB17" s="18"/>
      <c r="BC17" s="18"/>
      <c r="BD17" s="19" t="s">
        <v>39</v>
      </c>
      <c r="BE17" s="19"/>
      <c r="BF17" s="41">
        <v>3</v>
      </c>
      <c r="BG17" s="18"/>
      <c r="BH17" s="18"/>
      <c r="BI17" s="18"/>
      <c r="BJ17" s="18"/>
      <c r="BK17" s="18"/>
      <c r="BL17" s="124"/>
      <c r="BM17" s="124"/>
      <c r="BN17" s="124"/>
      <c r="BO17" s="124"/>
      <c r="BP17" s="20"/>
      <c r="BQ17" s="18"/>
      <c r="BT17" s="18"/>
      <c r="BU17" s="18"/>
      <c r="BV17" s="19" t="s">
        <v>49</v>
      </c>
      <c r="BW17" s="19"/>
      <c r="BX17" s="41">
        <v>1</v>
      </c>
      <c r="BY17" s="18"/>
      <c r="BZ17" s="18"/>
      <c r="CA17" s="18"/>
      <c r="CB17" s="18"/>
      <c r="CC17" s="18"/>
      <c r="CD17" s="124"/>
      <c r="CE17" s="124"/>
      <c r="CF17" s="124"/>
      <c r="CG17" s="124"/>
      <c r="CH17" s="20"/>
      <c r="CI17" s="18"/>
      <c r="CL17" s="18"/>
      <c r="CM17" s="18"/>
      <c r="CN17" s="19" t="s">
        <v>59</v>
      </c>
      <c r="CO17" s="19"/>
      <c r="CP17" s="41">
        <v>2</v>
      </c>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1</v>
      </c>
      <c r="EA17" s="81">
        <f>DH11</f>
        <v>0</v>
      </c>
      <c r="EB17" s="81">
        <f>DH5</f>
        <v>3</v>
      </c>
      <c r="EC17" s="81">
        <f>DH21</f>
        <v>2</v>
      </c>
      <c r="ED17" s="81">
        <f>DH13</f>
        <v>0</v>
      </c>
      <c r="EE17" s="81">
        <f>DH17</f>
        <v>0</v>
      </c>
      <c r="EF17" s="81">
        <f>DH7</f>
        <v>0</v>
      </c>
      <c r="EG17" s="81">
        <f>DH15</f>
        <v>0</v>
      </c>
      <c r="EH17" s="81">
        <f>DH9</f>
        <v>4</v>
      </c>
      <c r="EI17" s="59"/>
      <c r="EJ17" s="61"/>
      <c r="EK17" s="62" t="s">
        <v>88</v>
      </c>
      <c r="EL17" s="63"/>
      <c r="EM17" s="64">
        <f>EF19</f>
        <v>6</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v>1</v>
      </c>
      <c r="S19" s="18"/>
      <c r="T19" s="19" t="s">
        <v>20</v>
      </c>
      <c r="U19" s="19"/>
      <c r="V19" s="41">
        <v>1</v>
      </c>
      <c r="W19" s="18"/>
      <c r="X19" s="18"/>
      <c r="Y19" s="18"/>
      <c r="Z19" s="18"/>
      <c r="AA19" s="18"/>
      <c r="AB19" s="18"/>
      <c r="AC19" s="18"/>
      <c r="AD19" s="18"/>
      <c r="AE19" s="18"/>
      <c r="AF19" s="18"/>
      <c r="AG19" s="18"/>
      <c r="AJ19" s="18"/>
      <c r="AK19" s="18"/>
      <c r="AL19" s="19" t="s">
        <v>30</v>
      </c>
      <c r="AM19" s="19"/>
      <c r="AN19" s="41">
        <v>1</v>
      </c>
      <c r="AO19" s="18"/>
      <c r="AP19" s="18"/>
      <c r="AQ19" s="18"/>
      <c r="AR19" s="18"/>
      <c r="AS19" s="18"/>
      <c r="AT19" s="18"/>
      <c r="AU19" s="18"/>
      <c r="AV19" s="18"/>
      <c r="AW19" s="18"/>
      <c r="AX19" s="18"/>
      <c r="AY19" s="18"/>
      <c r="BB19" s="18"/>
      <c r="BC19" s="18"/>
      <c r="BD19" s="19" t="s">
        <v>40</v>
      </c>
      <c r="BE19" s="19"/>
      <c r="BF19" s="41">
        <v>1</v>
      </c>
      <c r="BG19" s="18"/>
      <c r="BH19" s="18"/>
      <c r="BI19" s="18"/>
      <c r="BJ19" s="18"/>
      <c r="BK19" s="18"/>
      <c r="BL19" s="18"/>
      <c r="BM19" s="18"/>
      <c r="BN19" s="18"/>
      <c r="BO19" s="18"/>
      <c r="BP19" s="18"/>
      <c r="BQ19" s="18"/>
      <c r="BT19" s="18"/>
      <c r="BU19" s="18"/>
      <c r="BV19" s="19" t="s">
        <v>50</v>
      </c>
      <c r="BW19" s="19"/>
      <c r="BX19" s="41">
        <v>1</v>
      </c>
      <c r="BY19" s="18"/>
      <c r="BZ19" s="18"/>
      <c r="CA19" s="18"/>
      <c r="CB19" s="18"/>
      <c r="CC19" s="18"/>
      <c r="CD19" s="18"/>
      <c r="CE19" s="18"/>
      <c r="CF19" s="18"/>
      <c r="CG19" s="18"/>
      <c r="CH19" s="18"/>
      <c r="CI19" s="18"/>
      <c r="CL19" s="18"/>
      <c r="CM19" s="18"/>
      <c r="CN19" s="19" t="s">
        <v>60</v>
      </c>
      <c r="CO19" s="19"/>
      <c r="CP19" s="41">
        <v>1</v>
      </c>
      <c r="CQ19" s="18"/>
      <c r="CR19" s="18"/>
      <c r="CS19" s="18"/>
      <c r="CT19" s="18"/>
      <c r="CU19" s="18"/>
      <c r="CV19" s="18"/>
      <c r="CW19" s="18"/>
      <c r="CX19" s="18"/>
      <c r="CY19" s="18"/>
      <c r="CZ19" s="18"/>
      <c r="DA19" s="18"/>
      <c r="DD19" s="4"/>
      <c r="DE19" s="4"/>
      <c r="DF19" s="15" t="s">
        <v>70</v>
      </c>
      <c r="DG19" s="15"/>
      <c r="DH19" s="41">
        <v>1</v>
      </c>
      <c r="DI19" s="4"/>
      <c r="DJ19" s="4"/>
      <c r="DK19" s="4"/>
      <c r="DL19" s="4"/>
      <c r="DM19" s="4"/>
      <c r="DN19" s="4"/>
      <c r="DO19" s="4"/>
      <c r="DP19" s="4"/>
      <c r="DQ19" s="4"/>
      <c r="DR19" s="4"/>
      <c r="DS19" s="4"/>
      <c r="DX19" s="76" t="s">
        <v>73</v>
      </c>
      <c r="DY19" s="77"/>
      <c r="DZ19" s="78">
        <f t="shared" ref="DZ19:EH19" si="0">SUM(DZ5:DZ17)</f>
        <v>9</v>
      </c>
      <c r="EA19" s="78">
        <f t="shared" si="0"/>
        <v>5</v>
      </c>
      <c r="EB19" s="78">
        <f t="shared" si="0"/>
        <v>14</v>
      </c>
      <c r="EC19" s="78">
        <f t="shared" si="0"/>
        <v>8</v>
      </c>
      <c r="ED19" s="78">
        <f t="shared" si="0"/>
        <v>4</v>
      </c>
      <c r="EE19" s="78">
        <f t="shared" si="0"/>
        <v>5</v>
      </c>
      <c r="EF19" s="78">
        <f t="shared" si="0"/>
        <v>6</v>
      </c>
      <c r="EG19" s="78">
        <f t="shared" si="0"/>
        <v>8</v>
      </c>
      <c r="EH19" s="79">
        <f t="shared" si="0"/>
        <v>11</v>
      </c>
      <c r="EI19" s="69" t="str">
        <f>IF(SUM(DZ19:EH19)=70,"OK","Checksum NOK")</f>
        <v>OK</v>
      </c>
      <c r="EJ19" s="61"/>
      <c r="EK19" s="74" t="s">
        <v>89</v>
      </c>
      <c r="EL19" s="75"/>
      <c r="EM19" s="64">
        <f>EG19</f>
        <v>8</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v>1</v>
      </c>
      <c r="S21" s="18"/>
      <c r="T21" s="19" t="s">
        <v>21</v>
      </c>
      <c r="U21" s="19"/>
      <c r="V21" s="41"/>
      <c r="W21" s="18"/>
      <c r="X21" s="18"/>
      <c r="Y21" s="18"/>
      <c r="Z21" s="18"/>
      <c r="AA21" s="18"/>
      <c r="AB21" s="18"/>
      <c r="AC21" s="18"/>
      <c r="AD21" s="18"/>
      <c r="AE21" s="18"/>
      <c r="AF21" s="18"/>
      <c r="AG21" s="18"/>
      <c r="AJ21" s="18"/>
      <c r="AK21" s="18"/>
      <c r="AL21" s="19" t="s">
        <v>31</v>
      </c>
      <c r="AM21" s="19"/>
      <c r="AN21" s="41">
        <v>3</v>
      </c>
      <c r="AO21" s="18"/>
      <c r="AP21" s="18"/>
      <c r="AQ21" s="18"/>
      <c r="AR21" s="18"/>
      <c r="AS21" s="18"/>
      <c r="AT21" s="18"/>
      <c r="AU21" s="18"/>
      <c r="AV21" s="18"/>
      <c r="AW21" s="18"/>
      <c r="AX21" s="18"/>
      <c r="AY21" s="18"/>
      <c r="BB21" s="18"/>
      <c r="BC21" s="18"/>
      <c r="BD21" s="19" t="s">
        <v>41</v>
      </c>
      <c r="BE21" s="19"/>
      <c r="BF21" s="41">
        <v>1</v>
      </c>
      <c r="BG21" s="18"/>
      <c r="BH21" s="18"/>
      <c r="BI21" s="18"/>
      <c r="BJ21" s="18"/>
      <c r="BK21" s="18"/>
      <c r="BL21" s="18"/>
      <c r="BM21" s="18"/>
      <c r="BN21" s="18"/>
      <c r="BO21" s="18"/>
      <c r="BP21" s="18"/>
      <c r="BQ21" s="18"/>
      <c r="BT21" s="18"/>
      <c r="BU21" s="18"/>
      <c r="BV21" s="19" t="s">
        <v>51</v>
      </c>
      <c r="BW21" s="19"/>
      <c r="BX21" s="41">
        <v>2</v>
      </c>
      <c r="BY21" s="18"/>
      <c r="BZ21" s="18"/>
      <c r="CA21" s="18"/>
      <c r="CB21" s="18"/>
      <c r="CC21" s="18"/>
      <c r="CD21" s="18"/>
      <c r="CE21" s="18"/>
      <c r="CF21" s="18"/>
      <c r="CG21" s="18"/>
      <c r="CH21" s="18"/>
      <c r="CI21" s="18"/>
      <c r="CL21" s="18"/>
      <c r="CM21" s="18"/>
      <c r="CN21" s="19" t="s">
        <v>61</v>
      </c>
      <c r="CO21" s="19"/>
      <c r="CP21" s="41">
        <v>1</v>
      </c>
      <c r="CQ21" s="18"/>
      <c r="CR21" s="18"/>
      <c r="CS21" s="18"/>
      <c r="CT21" s="18"/>
      <c r="CU21" s="18"/>
      <c r="CV21" s="18"/>
      <c r="CW21" s="18"/>
      <c r="CX21" s="18"/>
      <c r="CY21" s="18"/>
      <c r="CZ21" s="18"/>
      <c r="DA21" s="18"/>
      <c r="DD21" s="4"/>
      <c r="DE21" s="4"/>
      <c r="DF21" s="15" t="s">
        <v>71</v>
      </c>
      <c r="DG21" s="15"/>
      <c r="DH21" s="41">
        <v>2</v>
      </c>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11</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30"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1">
    <pageSetUpPr fitToPage="1"/>
  </sheetPr>
  <dimension ref="A1:GL53"/>
  <sheetViews>
    <sheetView topLeftCell="CZ1" zoomScale="85" zoomScaleNormal="85" workbookViewId="0">
      <selection activeCell="DH21" sqref="DH21"/>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",Start!C3)</f>
        <v xml:space="preserve">Results Belbin test per section of </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Start!C3</f>
        <v>0</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 customHeight="1" thickTop="1" thickBot="1" x14ac:dyDescent="0.3">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 customHeight="1" thickTop="1" thickBot="1" x14ac:dyDescent="0.3">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 customHeight="1" thickTop="1" thickBot="1" x14ac:dyDescent="0.3">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 customHeight="1" thickTop="1" thickBot="1" x14ac:dyDescent="0.3">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9"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22">
    <pageSetUpPr fitToPage="1"/>
  </sheetPr>
  <dimension ref="A1:GL53"/>
  <sheetViews>
    <sheetView topLeftCell="CZ1" zoomScale="85" zoomScaleNormal="85" workbookViewId="0">
      <selection activeCell="DH21" sqref="DH21"/>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",Start!C4)</f>
        <v xml:space="preserve">Results Belbin test per section of </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Start!C4</f>
        <v>0</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 customHeight="1" thickTop="1" thickBot="1" x14ac:dyDescent="0.3">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 customHeight="1" thickTop="1" thickBot="1" x14ac:dyDescent="0.3">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 customHeight="1" thickTop="1" thickBot="1" x14ac:dyDescent="0.3">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 customHeight="1" thickTop="1" thickBot="1" x14ac:dyDescent="0.3">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8"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23">
    <pageSetUpPr fitToPage="1"/>
  </sheetPr>
  <dimension ref="A1:GL53"/>
  <sheetViews>
    <sheetView topLeftCell="CZ1" zoomScale="85" zoomScaleNormal="85" workbookViewId="0">
      <selection activeCell="DH21" sqref="DH21"/>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 customHeight="1" thickTop="1" thickBot="1" x14ac:dyDescent="0.3">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 customHeight="1" thickTop="1" thickBot="1" x14ac:dyDescent="0.3">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 customHeight="1" thickTop="1" thickBot="1" x14ac:dyDescent="0.3">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 customHeight="1" thickTop="1" thickBot="1" x14ac:dyDescent="0.3">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7"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4">
    <pageSetUpPr fitToPage="1"/>
  </sheetPr>
  <dimension ref="A1:GL53"/>
  <sheetViews>
    <sheetView topLeftCell="CH1" zoomScale="85" zoomScaleNormal="85" workbookViewId="0">
      <selection activeCell="DH21" sqref="DH21"/>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 customHeight="1" thickTop="1" thickBot="1" x14ac:dyDescent="0.3">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 customHeight="1" thickTop="1" thickBot="1" x14ac:dyDescent="0.3">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 customHeight="1" thickTop="1" thickBot="1" x14ac:dyDescent="0.3">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 customHeight="1" thickTop="1" thickBot="1" x14ac:dyDescent="0.3">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6"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7">
    <pageSetUpPr fitToPage="1"/>
  </sheetPr>
  <dimension ref="A1:GL53"/>
  <sheetViews>
    <sheetView topLeftCell="CZ1" zoomScale="85" zoomScaleNormal="85" workbookViewId="0">
      <selection activeCell="DH21" sqref="DH21"/>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 customHeight="1" thickTop="1" thickBot="1" x14ac:dyDescent="0.3">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 customHeight="1" thickTop="1" thickBot="1" x14ac:dyDescent="0.3">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 customHeight="1" thickTop="1" thickBot="1" x14ac:dyDescent="0.3">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 customHeight="1" thickTop="1" thickBot="1" x14ac:dyDescent="0.3">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EK4:EN4"/>
    <mergeCell ref="DX4:DY4"/>
    <mergeCell ref="DZ4:EH4"/>
    <mergeCell ref="BZ5:CH7"/>
    <mergeCell ref="CR5:CZ7"/>
    <mergeCell ref="DX3:EH3"/>
    <mergeCell ref="T3:W3"/>
    <mergeCell ref="BD3:BF3"/>
    <mergeCell ref="CN3:CQ3"/>
    <mergeCell ref="DJ11:DK11"/>
    <mergeCell ref="DN11:DQ11"/>
    <mergeCell ref="DJ5:DR7"/>
    <mergeCell ref="AT9:AW9"/>
    <mergeCell ref="AT11:AW11"/>
    <mergeCell ref="BH11:BI11"/>
    <mergeCell ref="BL11:BO11"/>
    <mergeCell ref="DF3:DI3"/>
    <mergeCell ref="F5:N7"/>
    <mergeCell ref="X5:AF7"/>
    <mergeCell ref="AP5:AX7"/>
    <mergeCell ref="BH5:BP7"/>
    <mergeCell ref="CV13:CY13"/>
    <mergeCell ref="BZ11:CA11"/>
    <mergeCell ref="CD11:CG11"/>
    <mergeCell ref="CR11:CS11"/>
    <mergeCell ref="CV11:CY11"/>
    <mergeCell ref="F11:G11"/>
    <mergeCell ref="J11:M11"/>
    <mergeCell ref="X11:Y11"/>
    <mergeCell ref="AB11:AE11"/>
    <mergeCell ref="AP11:AQ11"/>
    <mergeCell ref="DN13:DQ13"/>
    <mergeCell ref="J15:M15"/>
    <mergeCell ref="AB15:AE15"/>
    <mergeCell ref="AT15:AW15"/>
    <mergeCell ref="BL15:BO15"/>
    <mergeCell ref="CD15:CG15"/>
    <mergeCell ref="CV15:CY15"/>
    <mergeCell ref="DN15:DQ15"/>
    <mergeCell ref="J13:M13"/>
    <mergeCell ref="AB13:AE13"/>
    <mergeCell ref="AT13:AW13"/>
    <mergeCell ref="BL13:BO13"/>
    <mergeCell ref="CD13:CG13"/>
    <mergeCell ref="BL17:BO17"/>
    <mergeCell ref="CD17:CG17"/>
    <mergeCell ref="CV17:CY17"/>
    <mergeCell ref="F23:N25"/>
    <mergeCell ref="F50:N52"/>
    <mergeCell ref="J17:M17"/>
    <mergeCell ref="AB17:AE17"/>
    <mergeCell ref="AT17:AW17"/>
  </mergeCells>
  <conditionalFormatting sqref="EM5:EM21">
    <cfRule type="top10" dxfId="25"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25">
    <pageSetUpPr fitToPage="1"/>
  </sheetPr>
  <dimension ref="A1:GL53"/>
  <sheetViews>
    <sheetView topLeftCell="CZ1" zoomScale="85" zoomScaleNormal="85" workbookViewId="0">
      <selection activeCell="DH21" sqref="DH21"/>
    </sheetView>
  </sheetViews>
  <sheetFormatPr defaultColWidth="9.140625" defaultRowHeight="18" x14ac:dyDescent="0.2"/>
  <cols>
    <col min="1" max="1" width="8.7109375" style="3" customWidth="1"/>
    <col min="2" max="2" width="59.28515625" style="1" bestFit="1" customWidth="1"/>
    <col min="3" max="3" width="2.28515625" style="1" customWidth="1"/>
    <col min="4" max="4" width="9.140625" style="2"/>
    <col min="5" max="18" width="9.140625" style="3"/>
    <col min="19" max="19" width="8.7109375" style="3" customWidth="1"/>
    <col min="20" max="20" width="59.28515625" style="3" customWidth="1"/>
    <col min="21" max="21" width="2.28515625" style="3" customWidth="1"/>
    <col min="22" max="35" width="9.140625" style="3"/>
    <col min="36" max="36" width="9.140625" style="3" customWidth="1"/>
    <col min="37" max="37" width="8.7109375" style="3" customWidth="1"/>
    <col min="38" max="38" width="59.28515625" style="3" customWidth="1"/>
    <col min="39" max="39" width="2.28515625" style="3" customWidth="1"/>
    <col min="40" max="53" width="9.140625" style="3"/>
    <col min="54" max="54" width="9.140625" style="3" customWidth="1"/>
    <col min="55" max="55" width="8.7109375" style="3" customWidth="1"/>
    <col min="56" max="56" width="59.28515625" style="3" customWidth="1"/>
    <col min="57" max="57" width="2.28515625" style="3" customWidth="1"/>
    <col min="58" max="71" width="9.140625" style="3"/>
    <col min="72" max="72" width="9.140625" style="3" customWidth="1"/>
    <col min="73" max="73" width="8.7109375" style="3" customWidth="1"/>
    <col min="74" max="74" width="59.28515625" style="3" customWidth="1"/>
    <col min="75" max="75" width="2.28515625" style="3" customWidth="1"/>
    <col min="76" max="89" width="9.140625" style="3"/>
    <col min="90" max="90" width="9.140625" style="3" customWidth="1"/>
    <col min="91" max="91" width="8.7109375" style="3" customWidth="1"/>
    <col min="92" max="92" width="59.28515625" style="3" customWidth="1"/>
    <col min="93" max="93" width="2.28515625" style="3" customWidth="1"/>
    <col min="94" max="107" width="9.140625" style="3"/>
    <col min="108" max="108" width="9.140625" style="3" customWidth="1"/>
    <col min="109" max="109" width="8.7109375" style="3" customWidth="1"/>
    <col min="110" max="110" width="59.28515625" style="3" customWidth="1"/>
    <col min="111" max="111" width="2.28515625" style="3" customWidth="1"/>
    <col min="112" max="127" width="9.140625" style="3"/>
    <col min="128" max="128" width="9.140625" style="3" customWidth="1"/>
    <col min="129" max="129" width="3.28515625" style="3" customWidth="1"/>
    <col min="130" max="138" width="4.7109375" style="3" customWidth="1"/>
    <col min="139" max="141" width="9.140625" style="3"/>
    <col min="142" max="142" width="14.7109375" style="3" customWidth="1"/>
    <col min="143" max="143" width="9.140625" style="3"/>
    <col min="144" max="144" width="6.7109375" style="3" customWidth="1"/>
    <col min="145" max="150" width="9.140625" style="3"/>
    <col min="151" max="151" width="2.28515625" style="3" customWidth="1"/>
    <col min="152" max="152" width="2.85546875" style="3" customWidth="1"/>
    <col min="153" max="257" width="9.140625" style="3"/>
    <col min="258" max="258" width="3" style="3" customWidth="1"/>
    <col min="259" max="259" width="59.28515625" style="3" bestFit="1" customWidth="1"/>
    <col min="260" max="260" width="2.28515625" style="3" customWidth="1"/>
    <col min="261" max="513" width="9.140625" style="3"/>
    <col min="514" max="514" width="3" style="3" customWidth="1"/>
    <col min="515" max="515" width="59.28515625" style="3" bestFit="1" customWidth="1"/>
    <col min="516" max="516" width="2.28515625" style="3" customWidth="1"/>
    <col min="517" max="769" width="9.140625" style="3"/>
    <col min="770" max="770" width="3" style="3" customWidth="1"/>
    <col min="771" max="771" width="59.28515625" style="3" bestFit="1" customWidth="1"/>
    <col min="772" max="772" width="2.28515625" style="3" customWidth="1"/>
    <col min="773" max="1025" width="9.140625" style="3"/>
    <col min="1026" max="1026" width="3" style="3" customWidth="1"/>
    <col min="1027" max="1027" width="59.28515625" style="3" bestFit="1" customWidth="1"/>
    <col min="1028" max="1028" width="2.28515625" style="3" customWidth="1"/>
    <col min="1029" max="1281" width="9.140625" style="3"/>
    <col min="1282" max="1282" width="3" style="3" customWidth="1"/>
    <col min="1283" max="1283" width="59.28515625" style="3" bestFit="1" customWidth="1"/>
    <col min="1284" max="1284" width="2.28515625" style="3" customWidth="1"/>
    <col min="1285" max="1537" width="9.140625" style="3"/>
    <col min="1538" max="1538" width="3" style="3" customWidth="1"/>
    <col min="1539" max="1539" width="59.28515625" style="3" bestFit="1" customWidth="1"/>
    <col min="1540" max="1540" width="2.28515625" style="3" customWidth="1"/>
    <col min="1541" max="1793" width="9.140625" style="3"/>
    <col min="1794" max="1794" width="3" style="3" customWidth="1"/>
    <col min="1795" max="1795" width="59.28515625" style="3" bestFit="1" customWidth="1"/>
    <col min="1796" max="1796" width="2.28515625" style="3" customWidth="1"/>
    <col min="1797" max="2049" width="9.140625" style="3"/>
    <col min="2050" max="2050" width="3" style="3" customWidth="1"/>
    <col min="2051" max="2051" width="59.28515625" style="3" bestFit="1" customWidth="1"/>
    <col min="2052" max="2052" width="2.28515625" style="3" customWidth="1"/>
    <col min="2053" max="2305" width="9.140625" style="3"/>
    <col min="2306" max="2306" width="3" style="3" customWidth="1"/>
    <col min="2307" max="2307" width="59.28515625" style="3" bestFit="1" customWidth="1"/>
    <col min="2308" max="2308" width="2.28515625" style="3" customWidth="1"/>
    <col min="2309" max="2561" width="9.140625" style="3"/>
    <col min="2562" max="2562" width="3" style="3" customWidth="1"/>
    <col min="2563" max="2563" width="59.28515625" style="3" bestFit="1" customWidth="1"/>
    <col min="2564" max="2564" width="2.28515625" style="3" customWidth="1"/>
    <col min="2565" max="2817" width="9.140625" style="3"/>
    <col min="2818" max="2818" width="3" style="3" customWidth="1"/>
    <col min="2819" max="2819" width="59.28515625" style="3" bestFit="1" customWidth="1"/>
    <col min="2820" max="2820" width="2.28515625" style="3" customWidth="1"/>
    <col min="2821" max="3073" width="9.140625" style="3"/>
    <col min="3074" max="3074" width="3" style="3" customWidth="1"/>
    <col min="3075" max="3075" width="59.28515625" style="3" bestFit="1" customWidth="1"/>
    <col min="3076" max="3076" width="2.28515625" style="3" customWidth="1"/>
    <col min="3077" max="3329" width="9.140625" style="3"/>
    <col min="3330" max="3330" width="3" style="3" customWidth="1"/>
    <col min="3331" max="3331" width="59.28515625" style="3" bestFit="1" customWidth="1"/>
    <col min="3332" max="3332" width="2.28515625" style="3" customWidth="1"/>
    <col min="3333" max="3585" width="9.140625" style="3"/>
    <col min="3586" max="3586" width="3" style="3" customWidth="1"/>
    <col min="3587" max="3587" width="59.28515625" style="3" bestFit="1" customWidth="1"/>
    <col min="3588" max="3588" width="2.28515625" style="3" customWidth="1"/>
    <col min="3589" max="3841" width="9.140625" style="3"/>
    <col min="3842" max="3842" width="3" style="3" customWidth="1"/>
    <col min="3843" max="3843" width="59.28515625" style="3" bestFit="1" customWidth="1"/>
    <col min="3844" max="3844" width="2.28515625" style="3" customWidth="1"/>
    <col min="3845" max="4097" width="9.140625" style="3"/>
    <col min="4098" max="4098" width="3" style="3" customWidth="1"/>
    <col min="4099" max="4099" width="59.28515625" style="3" bestFit="1" customWidth="1"/>
    <col min="4100" max="4100" width="2.28515625" style="3" customWidth="1"/>
    <col min="4101" max="4353" width="9.140625" style="3"/>
    <col min="4354" max="4354" width="3" style="3" customWidth="1"/>
    <col min="4355" max="4355" width="59.28515625" style="3" bestFit="1" customWidth="1"/>
    <col min="4356" max="4356" width="2.28515625" style="3" customWidth="1"/>
    <col min="4357" max="4609" width="9.140625" style="3"/>
    <col min="4610" max="4610" width="3" style="3" customWidth="1"/>
    <col min="4611" max="4611" width="59.28515625" style="3" bestFit="1" customWidth="1"/>
    <col min="4612" max="4612" width="2.28515625" style="3" customWidth="1"/>
    <col min="4613" max="4865" width="9.140625" style="3"/>
    <col min="4866" max="4866" width="3" style="3" customWidth="1"/>
    <col min="4867" max="4867" width="59.28515625" style="3" bestFit="1" customWidth="1"/>
    <col min="4868" max="4868" width="2.28515625" style="3" customWidth="1"/>
    <col min="4869" max="5121" width="9.140625" style="3"/>
    <col min="5122" max="5122" width="3" style="3" customWidth="1"/>
    <col min="5123" max="5123" width="59.28515625" style="3" bestFit="1" customWidth="1"/>
    <col min="5124" max="5124" width="2.28515625" style="3" customWidth="1"/>
    <col min="5125" max="5377" width="9.140625" style="3"/>
    <col min="5378" max="5378" width="3" style="3" customWidth="1"/>
    <col min="5379" max="5379" width="59.28515625" style="3" bestFit="1" customWidth="1"/>
    <col min="5380" max="5380" width="2.28515625" style="3" customWidth="1"/>
    <col min="5381" max="5633" width="9.140625" style="3"/>
    <col min="5634" max="5634" width="3" style="3" customWidth="1"/>
    <col min="5635" max="5635" width="59.28515625" style="3" bestFit="1" customWidth="1"/>
    <col min="5636" max="5636" width="2.28515625" style="3" customWidth="1"/>
    <col min="5637" max="5889" width="9.140625" style="3"/>
    <col min="5890" max="5890" width="3" style="3" customWidth="1"/>
    <col min="5891" max="5891" width="59.28515625" style="3" bestFit="1" customWidth="1"/>
    <col min="5892" max="5892" width="2.28515625" style="3" customWidth="1"/>
    <col min="5893" max="6145" width="9.140625" style="3"/>
    <col min="6146" max="6146" width="3" style="3" customWidth="1"/>
    <col min="6147" max="6147" width="59.28515625" style="3" bestFit="1" customWidth="1"/>
    <col min="6148" max="6148" width="2.28515625" style="3" customWidth="1"/>
    <col min="6149" max="6401" width="9.140625" style="3"/>
    <col min="6402" max="6402" width="3" style="3" customWidth="1"/>
    <col min="6403" max="6403" width="59.28515625" style="3" bestFit="1" customWidth="1"/>
    <col min="6404" max="6404" width="2.28515625" style="3" customWidth="1"/>
    <col min="6405" max="6657" width="9.140625" style="3"/>
    <col min="6658" max="6658" width="3" style="3" customWidth="1"/>
    <col min="6659" max="6659" width="59.28515625" style="3" bestFit="1" customWidth="1"/>
    <col min="6660" max="6660" width="2.28515625" style="3" customWidth="1"/>
    <col min="6661" max="6913" width="9.140625" style="3"/>
    <col min="6914" max="6914" width="3" style="3" customWidth="1"/>
    <col min="6915" max="6915" width="59.28515625" style="3" bestFit="1" customWidth="1"/>
    <col min="6916" max="6916" width="2.28515625" style="3" customWidth="1"/>
    <col min="6917" max="7169" width="9.140625" style="3"/>
    <col min="7170" max="7170" width="3" style="3" customWidth="1"/>
    <col min="7171" max="7171" width="59.28515625" style="3" bestFit="1" customWidth="1"/>
    <col min="7172" max="7172" width="2.28515625" style="3" customWidth="1"/>
    <col min="7173" max="7425" width="9.140625" style="3"/>
    <col min="7426" max="7426" width="3" style="3" customWidth="1"/>
    <col min="7427" max="7427" width="59.28515625" style="3" bestFit="1" customWidth="1"/>
    <col min="7428" max="7428" width="2.28515625" style="3" customWidth="1"/>
    <col min="7429" max="7681" width="9.140625" style="3"/>
    <col min="7682" max="7682" width="3" style="3" customWidth="1"/>
    <col min="7683" max="7683" width="59.28515625" style="3" bestFit="1" customWidth="1"/>
    <col min="7684" max="7684" width="2.28515625" style="3" customWidth="1"/>
    <col min="7685" max="7937" width="9.140625" style="3"/>
    <col min="7938" max="7938" width="3" style="3" customWidth="1"/>
    <col min="7939" max="7939" width="59.28515625" style="3" bestFit="1" customWidth="1"/>
    <col min="7940" max="7940" width="2.28515625" style="3" customWidth="1"/>
    <col min="7941" max="8193" width="9.140625" style="3"/>
    <col min="8194" max="8194" width="3" style="3" customWidth="1"/>
    <col min="8195" max="8195" width="59.28515625" style="3" bestFit="1" customWidth="1"/>
    <col min="8196" max="8196" width="2.28515625" style="3" customWidth="1"/>
    <col min="8197" max="8449" width="9.140625" style="3"/>
    <col min="8450" max="8450" width="3" style="3" customWidth="1"/>
    <col min="8451" max="8451" width="59.28515625" style="3" bestFit="1" customWidth="1"/>
    <col min="8452" max="8452" width="2.28515625" style="3" customWidth="1"/>
    <col min="8453" max="8705" width="9.140625" style="3"/>
    <col min="8706" max="8706" width="3" style="3" customWidth="1"/>
    <col min="8707" max="8707" width="59.28515625" style="3" bestFit="1" customWidth="1"/>
    <col min="8708" max="8708" width="2.28515625" style="3" customWidth="1"/>
    <col min="8709" max="8961" width="9.140625" style="3"/>
    <col min="8962" max="8962" width="3" style="3" customWidth="1"/>
    <col min="8963" max="8963" width="59.28515625" style="3" bestFit="1" customWidth="1"/>
    <col min="8964" max="8964" width="2.28515625" style="3" customWidth="1"/>
    <col min="8965" max="9217" width="9.140625" style="3"/>
    <col min="9218" max="9218" width="3" style="3" customWidth="1"/>
    <col min="9219" max="9219" width="59.28515625" style="3" bestFit="1" customWidth="1"/>
    <col min="9220" max="9220" width="2.28515625" style="3" customWidth="1"/>
    <col min="9221" max="9473" width="9.140625" style="3"/>
    <col min="9474" max="9474" width="3" style="3" customWidth="1"/>
    <col min="9475" max="9475" width="59.28515625" style="3" bestFit="1" customWidth="1"/>
    <col min="9476" max="9476" width="2.28515625" style="3" customWidth="1"/>
    <col min="9477" max="9729" width="9.140625" style="3"/>
    <col min="9730" max="9730" width="3" style="3" customWidth="1"/>
    <col min="9731" max="9731" width="59.28515625" style="3" bestFit="1" customWidth="1"/>
    <col min="9732" max="9732" width="2.28515625" style="3" customWidth="1"/>
    <col min="9733" max="9985" width="9.140625" style="3"/>
    <col min="9986" max="9986" width="3" style="3" customWidth="1"/>
    <col min="9987" max="9987" width="59.28515625" style="3" bestFit="1" customWidth="1"/>
    <col min="9988" max="9988" width="2.28515625" style="3" customWidth="1"/>
    <col min="9989" max="10241" width="9.140625" style="3"/>
    <col min="10242" max="10242" width="3" style="3" customWidth="1"/>
    <col min="10243" max="10243" width="59.28515625" style="3" bestFit="1" customWidth="1"/>
    <col min="10244" max="10244" width="2.28515625" style="3" customWidth="1"/>
    <col min="10245" max="10497" width="9.140625" style="3"/>
    <col min="10498" max="10498" width="3" style="3" customWidth="1"/>
    <col min="10499" max="10499" width="59.28515625" style="3" bestFit="1" customWidth="1"/>
    <col min="10500" max="10500" width="2.28515625" style="3" customWidth="1"/>
    <col min="10501" max="10753" width="9.140625" style="3"/>
    <col min="10754" max="10754" width="3" style="3" customWidth="1"/>
    <col min="10755" max="10755" width="59.28515625" style="3" bestFit="1" customWidth="1"/>
    <col min="10756" max="10756" width="2.28515625" style="3" customWidth="1"/>
    <col min="10757" max="11009" width="9.140625" style="3"/>
    <col min="11010" max="11010" width="3" style="3" customWidth="1"/>
    <col min="11011" max="11011" width="59.28515625" style="3" bestFit="1" customWidth="1"/>
    <col min="11012" max="11012" width="2.28515625" style="3" customWidth="1"/>
    <col min="11013" max="11265" width="9.140625" style="3"/>
    <col min="11266" max="11266" width="3" style="3" customWidth="1"/>
    <col min="11267" max="11267" width="59.28515625" style="3" bestFit="1" customWidth="1"/>
    <col min="11268" max="11268" width="2.28515625" style="3" customWidth="1"/>
    <col min="11269" max="11521" width="9.140625" style="3"/>
    <col min="11522" max="11522" width="3" style="3" customWidth="1"/>
    <col min="11523" max="11523" width="59.28515625" style="3" bestFit="1" customWidth="1"/>
    <col min="11524" max="11524" width="2.28515625" style="3" customWidth="1"/>
    <col min="11525" max="11777" width="9.140625" style="3"/>
    <col min="11778" max="11778" width="3" style="3" customWidth="1"/>
    <col min="11779" max="11779" width="59.28515625" style="3" bestFit="1" customWidth="1"/>
    <col min="11780" max="11780" width="2.28515625" style="3" customWidth="1"/>
    <col min="11781" max="12033" width="9.140625" style="3"/>
    <col min="12034" max="12034" width="3" style="3" customWidth="1"/>
    <col min="12035" max="12035" width="59.28515625" style="3" bestFit="1" customWidth="1"/>
    <col min="12036" max="12036" width="2.28515625" style="3" customWidth="1"/>
    <col min="12037" max="12289" width="9.140625" style="3"/>
    <col min="12290" max="12290" width="3" style="3" customWidth="1"/>
    <col min="12291" max="12291" width="59.28515625" style="3" bestFit="1" customWidth="1"/>
    <col min="12292" max="12292" width="2.28515625" style="3" customWidth="1"/>
    <col min="12293" max="12545" width="9.140625" style="3"/>
    <col min="12546" max="12546" width="3" style="3" customWidth="1"/>
    <col min="12547" max="12547" width="59.28515625" style="3" bestFit="1" customWidth="1"/>
    <col min="12548" max="12548" width="2.28515625" style="3" customWidth="1"/>
    <col min="12549" max="12801" width="9.140625" style="3"/>
    <col min="12802" max="12802" width="3" style="3" customWidth="1"/>
    <col min="12803" max="12803" width="59.28515625" style="3" bestFit="1" customWidth="1"/>
    <col min="12804" max="12804" width="2.28515625" style="3" customWidth="1"/>
    <col min="12805" max="13057" width="9.140625" style="3"/>
    <col min="13058" max="13058" width="3" style="3" customWidth="1"/>
    <col min="13059" max="13059" width="59.28515625" style="3" bestFit="1" customWidth="1"/>
    <col min="13060" max="13060" width="2.28515625" style="3" customWidth="1"/>
    <col min="13061" max="13313" width="9.140625" style="3"/>
    <col min="13314" max="13314" width="3" style="3" customWidth="1"/>
    <col min="13315" max="13315" width="59.28515625" style="3" bestFit="1" customWidth="1"/>
    <col min="13316" max="13316" width="2.28515625" style="3" customWidth="1"/>
    <col min="13317" max="13569" width="9.140625" style="3"/>
    <col min="13570" max="13570" width="3" style="3" customWidth="1"/>
    <col min="13571" max="13571" width="59.28515625" style="3" bestFit="1" customWidth="1"/>
    <col min="13572" max="13572" width="2.28515625" style="3" customWidth="1"/>
    <col min="13573" max="13825" width="9.140625" style="3"/>
    <col min="13826" max="13826" width="3" style="3" customWidth="1"/>
    <col min="13827" max="13827" width="59.28515625" style="3" bestFit="1" customWidth="1"/>
    <col min="13828" max="13828" width="2.28515625" style="3" customWidth="1"/>
    <col min="13829" max="14081" width="9.140625" style="3"/>
    <col min="14082" max="14082" width="3" style="3" customWidth="1"/>
    <col min="14083" max="14083" width="59.28515625" style="3" bestFit="1" customWidth="1"/>
    <col min="14084" max="14084" width="2.28515625" style="3" customWidth="1"/>
    <col min="14085" max="14337" width="9.140625" style="3"/>
    <col min="14338" max="14338" width="3" style="3" customWidth="1"/>
    <col min="14339" max="14339" width="59.28515625" style="3" bestFit="1" customWidth="1"/>
    <col min="14340" max="14340" width="2.28515625" style="3" customWidth="1"/>
    <col min="14341" max="14593" width="9.140625" style="3"/>
    <col min="14594" max="14594" width="3" style="3" customWidth="1"/>
    <col min="14595" max="14595" width="59.28515625" style="3" bestFit="1" customWidth="1"/>
    <col min="14596" max="14596" width="2.28515625" style="3" customWidth="1"/>
    <col min="14597" max="14849" width="9.140625" style="3"/>
    <col min="14850" max="14850" width="3" style="3" customWidth="1"/>
    <col min="14851" max="14851" width="59.28515625" style="3" bestFit="1" customWidth="1"/>
    <col min="14852" max="14852" width="2.28515625" style="3" customWidth="1"/>
    <col min="14853" max="15105" width="9.140625" style="3"/>
    <col min="15106" max="15106" width="3" style="3" customWidth="1"/>
    <col min="15107" max="15107" width="59.28515625" style="3" bestFit="1" customWidth="1"/>
    <col min="15108" max="15108" width="2.28515625" style="3" customWidth="1"/>
    <col min="15109" max="15361" width="9.140625" style="3"/>
    <col min="15362" max="15362" width="3" style="3" customWidth="1"/>
    <col min="15363" max="15363" width="59.28515625" style="3" bestFit="1" customWidth="1"/>
    <col min="15364" max="15364" width="2.28515625" style="3" customWidth="1"/>
    <col min="15365" max="15617" width="9.140625" style="3"/>
    <col min="15618" max="15618" width="3" style="3" customWidth="1"/>
    <col min="15619" max="15619" width="59.28515625" style="3" bestFit="1" customWidth="1"/>
    <col min="15620" max="15620" width="2.28515625" style="3" customWidth="1"/>
    <col min="15621" max="15873" width="9.140625" style="3"/>
    <col min="15874" max="15874" width="3" style="3" customWidth="1"/>
    <col min="15875" max="15875" width="59.28515625" style="3" bestFit="1" customWidth="1"/>
    <col min="15876" max="15876" width="2.28515625" style="3" customWidth="1"/>
    <col min="15877" max="16129" width="9.140625" style="3"/>
    <col min="16130" max="16130" width="3" style="3" customWidth="1"/>
    <col min="16131" max="16131" width="59.28515625" style="3" bestFit="1" customWidth="1"/>
    <col min="16132" max="16132" width="2.28515625" style="3" customWidth="1"/>
    <col min="16133" max="16384" width="9.140625" style="3"/>
  </cols>
  <sheetData>
    <row r="1" spans="1:194" x14ac:dyDescent="0.25">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45" customHeight="1" x14ac:dyDescent="0.25">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 customHeight="1" x14ac:dyDescent="0.25">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75" thickBot="1" x14ac:dyDescent="0.3">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 customHeight="1" thickTop="1" thickBot="1" x14ac:dyDescent="0.3">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000000000000004" customHeight="1" thickTop="1" thickBot="1" x14ac:dyDescent="0.3">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 customHeight="1" thickTop="1" thickBot="1" x14ac:dyDescent="0.3">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000000000000004" customHeight="1" thickTop="1" thickBot="1" x14ac:dyDescent="0.3">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 customHeight="1" thickTop="1" thickBot="1" x14ac:dyDescent="0.3">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000000000000004" customHeight="1" thickTop="1" thickBot="1" x14ac:dyDescent="0.3">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 customHeight="1" thickTop="1" thickBot="1" x14ac:dyDescent="0.3">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000000000000004" customHeight="1" thickTop="1" thickBot="1" x14ac:dyDescent="0.3">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 customHeight="1" thickTop="1" thickBot="1" x14ac:dyDescent="0.3">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000000000000004" customHeight="1" thickTop="1" thickBot="1" x14ac:dyDescent="0.3">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 customHeight="1" thickTop="1" thickBot="1" x14ac:dyDescent="0.3">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000000000000004" customHeight="1" thickTop="1" thickBot="1" x14ac:dyDescent="0.3">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 customHeight="1" thickTop="1" thickBot="1" x14ac:dyDescent="0.3">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000000000000004" customHeight="1" thickTop="1" thickBot="1" x14ac:dyDescent="0.3">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 customHeight="1" thickTop="1" thickBot="1" x14ac:dyDescent="0.3">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000000000000004" customHeight="1" thickTop="1" thickBot="1" x14ac:dyDescent="0.3">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 customHeight="1" thickTop="1" thickBot="1" x14ac:dyDescent="0.3">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000000000000004" customHeight="1" thickTop="1" x14ac:dyDescent="0.25">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25">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899999999999999" customHeight="1" x14ac:dyDescent="0.25">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899999999999999" customHeight="1" x14ac:dyDescent="0.25">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899999999999999" customHeight="1" x14ac:dyDescent="0.25">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899999999999999" customHeight="1" x14ac:dyDescent="0.25">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899999999999999" customHeight="1" x14ac:dyDescent="0.25">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899999999999999" customHeight="1" x14ac:dyDescent="0.25">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899999999999999" customHeight="1" x14ac:dyDescent="0.25">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899999999999999" customHeight="1" x14ac:dyDescent="0.25">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899999999999999" customHeight="1" x14ac:dyDescent="0.25">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25">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25">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25">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25">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25">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25">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25">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25">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25">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25">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25">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25">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25">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25">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25">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25">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25">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25">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25">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25">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25">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4"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
  <dimension ref="A1:AA25"/>
  <sheetViews>
    <sheetView showGridLines="0" workbookViewId="0">
      <pane xSplit="1" ySplit="3" topLeftCell="B4" activePane="bottomRight" state="frozen"/>
      <selection pane="topRight" activeCell="C1" sqref="C1"/>
      <selection pane="bottomLeft" activeCell="A4" sqref="A4"/>
      <selection pane="bottomRight" activeCell="AC17" sqref="AC17"/>
    </sheetView>
  </sheetViews>
  <sheetFormatPr defaultColWidth="8.85546875" defaultRowHeight="15" x14ac:dyDescent="0.25"/>
  <cols>
    <col min="1" max="1" width="26" customWidth="1"/>
    <col min="2" max="2" width="2.7109375" customWidth="1"/>
    <col min="4" max="5" width="2.7109375" customWidth="1"/>
    <col min="7" max="8" width="2.7109375" customWidth="1"/>
    <col min="10" max="11" width="2.7109375" customWidth="1"/>
    <col min="13" max="14" width="2.7109375" customWidth="1"/>
    <col min="16" max="17" width="2.7109375" customWidth="1"/>
    <col min="19" max="20" width="2.7109375" customWidth="1"/>
    <col min="22" max="23" width="2.7109375" customWidth="1"/>
    <col min="25" max="25" width="2.7109375" customWidth="1"/>
  </cols>
  <sheetData>
    <row r="1" spans="1:27" s="84" customFormat="1" ht="32.450000000000003" customHeight="1" x14ac:dyDescent="0.2">
      <c r="A1" s="83"/>
      <c r="Q1" s="85"/>
      <c r="R1" s="85"/>
      <c r="U1" s="94"/>
      <c r="V1" s="93"/>
      <c r="W1" s="95" t="s">
        <v>93</v>
      </c>
      <c r="X1" s="143">
        <f>Start!O1</f>
        <v>40</v>
      </c>
      <c r="Y1" s="143"/>
    </row>
    <row r="2" spans="1:27" s="84" customFormat="1" ht="17.45" customHeight="1" x14ac:dyDescent="0.2">
      <c r="A2" s="97"/>
      <c r="B2" s="150" t="s">
        <v>92</v>
      </c>
      <c r="C2" s="151"/>
      <c r="D2" s="151"/>
      <c r="E2" s="151"/>
      <c r="F2" s="151"/>
      <c r="G2" s="151"/>
      <c r="H2" s="151"/>
      <c r="I2" s="151"/>
      <c r="J2" s="151"/>
      <c r="K2" s="151"/>
      <c r="L2" s="151"/>
      <c r="M2" s="151"/>
      <c r="N2" s="151"/>
      <c r="O2" s="151"/>
      <c r="P2" s="151"/>
      <c r="Q2" s="151"/>
      <c r="R2" s="151"/>
      <c r="S2" s="151"/>
      <c r="T2" s="151"/>
      <c r="U2" s="151"/>
      <c r="V2" s="151"/>
      <c r="W2" s="151"/>
      <c r="X2" s="151"/>
      <c r="Y2" s="152"/>
    </row>
    <row r="3" spans="1:27" s="86" customFormat="1" ht="34.9" customHeight="1" x14ac:dyDescent="0.25">
      <c r="A3" s="98" t="s">
        <v>91</v>
      </c>
      <c r="B3" s="147" t="str">
        <f>IF(Start!C1="","",Start!C1)</f>
        <v>Mārtiņš</v>
      </c>
      <c r="C3" s="148"/>
      <c r="D3" s="149"/>
      <c r="E3" s="156">
        <f>IF(Start!C2="","",Start!C2)</f>
        <v>2</v>
      </c>
      <c r="F3" s="157"/>
      <c r="G3" s="158"/>
      <c r="H3" s="159" t="str">
        <f>IF(Start!C3="","",Start!C3)</f>
        <v/>
      </c>
      <c r="I3" s="160"/>
      <c r="J3" s="161"/>
      <c r="K3" s="162" t="str">
        <f>IF(Start!C4="","",Start!C4)</f>
        <v/>
      </c>
      <c r="L3" s="163"/>
      <c r="M3" s="164"/>
      <c r="N3" s="165" t="str">
        <f>IF(Start!C5="","",Start!C5)</f>
        <v/>
      </c>
      <c r="O3" s="166"/>
      <c r="P3" s="167"/>
      <c r="Q3" s="168" t="str">
        <f>IF(Start!C6="","",Start!C6)</f>
        <v/>
      </c>
      <c r="R3" s="169"/>
      <c r="S3" s="170"/>
      <c r="T3" s="144" t="str">
        <f>IF(Start!C7="","",Start!C7)</f>
        <v/>
      </c>
      <c r="U3" s="145"/>
      <c r="V3" s="146"/>
      <c r="W3" s="153" t="str">
        <f>IF(Start!C8="","",Start!C8)</f>
        <v/>
      </c>
      <c r="X3" s="154"/>
      <c r="Y3" s="155"/>
    </row>
    <row r="4" spans="1:27" s="84" customFormat="1" ht="1.1499999999999999" customHeight="1" x14ac:dyDescent="0.2">
      <c r="A4" s="99"/>
      <c r="B4" s="99"/>
      <c r="C4" s="99"/>
      <c r="D4" s="99"/>
      <c r="E4" s="99"/>
      <c r="F4" s="99"/>
      <c r="G4" s="99"/>
      <c r="H4" s="99"/>
      <c r="I4" s="99"/>
      <c r="J4" s="99"/>
      <c r="K4" s="99"/>
      <c r="L4" s="99"/>
      <c r="M4" s="99"/>
      <c r="N4" s="99"/>
      <c r="O4" s="99"/>
      <c r="P4" s="100"/>
      <c r="Q4" s="101"/>
      <c r="R4" s="101"/>
      <c r="S4" s="99"/>
      <c r="T4" s="99"/>
      <c r="U4" s="99"/>
      <c r="V4" s="99"/>
      <c r="W4" s="99"/>
      <c r="X4" s="99"/>
      <c r="Y4" s="99"/>
    </row>
    <row r="5" spans="1:27" s="91" customFormat="1" ht="24.95" customHeight="1" x14ac:dyDescent="0.25">
      <c r="A5" s="96" t="s">
        <v>82</v>
      </c>
      <c r="B5" s="102"/>
      <c r="C5" s="103">
        <f>Mārtiņš!$EM5</f>
        <v>6</v>
      </c>
      <c r="D5" s="104"/>
      <c r="E5" s="105"/>
      <c r="F5" s="103">
        <f>'2'!$EM5</f>
        <v>9</v>
      </c>
      <c r="G5" s="104"/>
      <c r="H5" s="105"/>
      <c r="I5" s="103">
        <f>'3'!$EM5</f>
        <v>0</v>
      </c>
      <c r="J5" s="104"/>
      <c r="K5" s="105"/>
      <c r="L5" s="103">
        <f>'4'!$EM5</f>
        <v>0</v>
      </c>
      <c r="M5" s="104"/>
      <c r="N5" s="105"/>
      <c r="O5" s="103">
        <f>'5'!$EM5</f>
        <v>0</v>
      </c>
      <c r="P5" s="104"/>
      <c r="Q5" s="105"/>
      <c r="R5" s="103">
        <f>'6'!$EM5</f>
        <v>0</v>
      </c>
      <c r="S5" s="104"/>
      <c r="T5" s="105"/>
      <c r="U5" s="103">
        <f>'7'!$EM5</f>
        <v>0</v>
      </c>
      <c r="V5" s="104"/>
      <c r="W5" s="105"/>
      <c r="X5" s="103">
        <f>'8'!$EM5</f>
        <v>0</v>
      </c>
      <c r="Y5" s="104"/>
    </row>
    <row r="6" spans="1:27" s="84" customFormat="1" ht="1.1499999999999999" customHeight="1" x14ac:dyDescent="0.2">
      <c r="A6" s="107"/>
      <c r="B6" s="106"/>
      <c r="C6" s="106"/>
      <c r="D6" s="106"/>
      <c r="E6" s="106"/>
      <c r="F6" s="106"/>
      <c r="G6" s="106"/>
      <c r="H6" s="106"/>
      <c r="I6" s="106"/>
      <c r="J6" s="106"/>
      <c r="K6" s="106"/>
      <c r="L6" s="106"/>
      <c r="M6" s="106"/>
      <c r="N6" s="106"/>
      <c r="O6" s="106"/>
      <c r="P6" s="106"/>
      <c r="Q6" s="106"/>
      <c r="R6" s="106"/>
      <c r="S6" s="106"/>
      <c r="T6" s="106"/>
      <c r="U6" s="106"/>
      <c r="V6" s="106"/>
      <c r="W6" s="106"/>
      <c r="X6" s="106"/>
      <c r="Y6" s="106"/>
    </row>
    <row r="7" spans="1:27" s="91" customFormat="1" ht="24.95" customHeight="1" x14ac:dyDescent="0.25">
      <c r="A7" s="96" t="s">
        <v>83</v>
      </c>
      <c r="B7" s="102"/>
      <c r="C7" s="103">
        <f>Mārtiņš!EM7</f>
        <v>7</v>
      </c>
      <c r="D7" s="104"/>
      <c r="E7" s="105"/>
      <c r="F7" s="103">
        <f>'2'!$EM7</f>
        <v>5</v>
      </c>
      <c r="G7" s="104"/>
      <c r="H7" s="105"/>
      <c r="I7" s="103">
        <f>'3'!$EM7</f>
        <v>0</v>
      </c>
      <c r="J7" s="104"/>
      <c r="K7" s="105"/>
      <c r="L7" s="103">
        <f>'4'!$EM7</f>
        <v>0</v>
      </c>
      <c r="M7" s="104"/>
      <c r="N7" s="105"/>
      <c r="O7" s="103">
        <f>'5'!$EM7</f>
        <v>0</v>
      </c>
      <c r="P7" s="104"/>
      <c r="Q7" s="105"/>
      <c r="R7" s="103">
        <f>'6'!$EM7</f>
        <v>0</v>
      </c>
      <c r="S7" s="104"/>
      <c r="T7" s="105"/>
      <c r="U7" s="103">
        <f>'7'!$EM7</f>
        <v>0</v>
      </c>
      <c r="V7" s="104"/>
      <c r="W7" s="105"/>
      <c r="X7" s="103">
        <f>'8'!$EM7</f>
        <v>0</v>
      </c>
      <c r="Y7" s="104"/>
    </row>
    <row r="8" spans="1:27" s="84" customFormat="1" ht="1.1499999999999999" customHeight="1" x14ac:dyDescent="0.2">
      <c r="A8" s="107"/>
      <c r="B8" s="106"/>
      <c r="C8" s="106"/>
      <c r="D8" s="106"/>
      <c r="E8" s="106"/>
      <c r="F8" s="106"/>
      <c r="G8" s="106"/>
      <c r="H8" s="106"/>
      <c r="I8" s="106"/>
      <c r="J8" s="106"/>
      <c r="K8" s="106"/>
      <c r="L8" s="106"/>
      <c r="M8" s="106"/>
      <c r="N8" s="106"/>
      <c r="O8" s="106"/>
      <c r="P8" s="106"/>
      <c r="Q8" s="106"/>
      <c r="R8" s="106"/>
      <c r="S8" s="106"/>
      <c r="T8" s="106"/>
      <c r="U8" s="106"/>
      <c r="V8" s="106"/>
      <c r="W8" s="106"/>
      <c r="X8" s="106"/>
      <c r="Y8" s="106"/>
    </row>
    <row r="9" spans="1:27" s="91" customFormat="1" ht="24.95" customHeight="1" x14ac:dyDescent="0.25">
      <c r="A9" s="96" t="s">
        <v>84</v>
      </c>
      <c r="B9" s="102"/>
      <c r="C9" s="103">
        <f>Mārtiņš!EM9</f>
        <v>12</v>
      </c>
      <c r="D9" s="104"/>
      <c r="E9" s="105"/>
      <c r="F9" s="103">
        <f>'2'!$EM9</f>
        <v>14</v>
      </c>
      <c r="G9" s="104"/>
      <c r="H9" s="105"/>
      <c r="I9" s="103">
        <f>'3'!$EM9</f>
        <v>0</v>
      </c>
      <c r="J9" s="104"/>
      <c r="K9" s="105"/>
      <c r="L9" s="103">
        <f>'4'!$EM9</f>
        <v>0</v>
      </c>
      <c r="M9" s="104"/>
      <c r="N9" s="105"/>
      <c r="O9" s="103">
        <f>'5'!$EM9</f>
        <v>0</v>
      </c>
      <c r="P9" s="104"/>
      <c r="Q9" s="105"/>
      <c r="R9" s="103">
        <f>'6'!$EM9</f>
        <v>0</v>
      </c>
      <c r="S9" s="104"/>
      <c r="T9" s="105"/>
      <c r="U9" s="103">
        <f>'7'!$EM9</f>
        <v>0</v>
      </c>
      <c r="V9" s="104"/>
      <c r="W9" s="105"/>
      <c r="X9" s="103">
        <f>'8'!$EM9</f>
        <v>0</v>
      </c>
      <c r="Y9" s="104"/>
    </row>
    <row r="10" spans="1:27" s="84" customFormat="1" ht="1.1499999999999999" customHeight="1" x14ac:dyDescent="0.2">
      <c r="A10" s="107"/>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91"/>
      <c r="AA10" s="91"/>
    </row>
    <row r="11" spans="1:27" s="91" customFormat="1" ht="24.95" customHeight="1" x14ac:dyDescent="0.25">
      <c r="A11" s="96" t="s">
        <v>85</v>
      </c>
      <c r="B11" s="102"/>
      <c r="C11" s="103">
        <f>Mārtiņš!EM11</f>
        <v>8</v>
      </c>
      <c r="D11" s="104"/>
      <c r="E11" s="105"/>
      <c r="F11" s="103">
        <f>'2'!$EM11</f>
        <v>8</v>
      </c>
      <c r="G11" s="104"/>
      <c r="H11" s="105"/>
      <c r="I11" s="103">
        <f>'3'!$EM11</f>
        <v>0</v>
      </c>
      <c r="J11" s="104"/>
      <c r="K11" s="105"/>
      <c r="L11" s="103">
        <f>'4'!$EM11</f>
        <v>0</v>
      </c>
      <c r="M11" s="104"/>
      <c r="N11" s="105"/>
      <c r="O11" s="103">
        <f>'5'!$EM11</f>
        <v>0</v>
      </c>
      <c r="P11" s="104"/>
      <c r="Q11" s="105"/>
      <c r="R11" s="103">
        <f>'6'!$EM11</f>
        <v>0</v>
      </c>
      <c r="S11" s="104"/>
      <c r="T11" s="105"/>
      <c r="U11" s="103">
        <f>'7'!$EM11</f>
        <v>0</v>
      </c>
      <c r="V11" s="104"/>
      <c r="W11" s="105"/>
      <c r="X11" s="103">
        <f>'8'!$EM11</f>
        <v>0</v>
      </c>
      <c r="Y11" s="104"/>
    </row>
    <row r="12" spans="1:27" s="84" customFormat="1" ht="1.1499999999999999" customHeight="1" x14ac:dyDescent="0.2">
      <c r="A12" s="107"/>
      <c r="B12" s="106"/>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91"/>
      <c r="AA12" s="91"/>
    </row>
    <row r="13" spans="1:27" s="91" customFormat="1" ht="24.95" customHeight="1" x14ac:dyDescent="0.25">
      <c r="A13" s="96" t="s">
        <v>86</v>
      </c>
      <c r="B13" s="102"/>
      <c r="C13" s="103">
        <f>Mārtiņš!EM13</f>
        <v>4</v>
      </c>
      <c r="D13" s="104"/>
      <c r="E13" s="105"/>
      <c r="F13" s="103">
        <f>'2'!$EM13</f>
        <v>4</v>
      </c>
      <c r="G13" s="104"/>
      <c r="H13" s="105"/>
      <c r="I13" s="103">
        <f>'3'!$EM13</f>
        <v>0</v>
      </c>
      <c r="J13" s="104"/>
      <c r="K13" s="105"/>
      <c r="L13" s="103">
        <f>'4'!$EM13</f>
        <v>0</v>
      </c>
      <c r="M13" s="104"/>
      <c r="N13" s="105"/>
      <c r="O13" s="103">
        <f>'5'!$EM13</f>
        <v>0</v>
      </c>
      <c r="P13" s="104"/>
      <c r="Q13" s="105"/>
      <c r="R13" s="103">
        <f>'6'!$EM13</f>
        <v>0</v>
      </c>
      <c r="S13" s="104"/>
      <c r="T13" s="105"/>
      <c r="U13" s="103">
        <f>'7'!$EM13</f>
        <v>0</v>
      </c>
      <c r="V13" s="104"/>
      <c r="W13" s="105"/>
      <c r="X13" s="103">
        <f>'8'!$EM13</f>
        <v>0</v>
      </c>
      <c r="Y13" s="104"/>
    </row>
    <row r="14" spans="1:27" s="84" customFormat="1" ht="1.1499999999999999" customHeight="1" x14ac:dyDescent="0.2">
      <c r="A14" s="107"/>
      <c r="B14" s="106"/>
      <c r="C14" s="106"/>
      <c r="D14" s="106"/>
      <c r="E14" s="106"/>
      <c r="F14" s="106"/>
      <c r="G14" s="106"/>
      <c r="H14" s="106"/>
      <c r="I14" s="106"/>
      <c r="J14" s="106"/>
      <c r="K14" s="106"/>
      <c r="L14" s="106"/>
      <c r="M14" s="106"/>
      <c r="N14" s="106"/>
      <c r="O14" s="106"/>
      <c r="P14" s="106"/>
      <c r="Q14" s="106"/>
      <c r="R14" s="106"/>
      <c r="S14" s="106"/>
      <c r="T14" s="106"/>
      <c r="U14" s="106"/>
      <c r="V14" s="106"/>
      <c r="W14" s="106"/>
      <c r="X14" s="106"/>
      <c r="Y14" s="106"/>
    </row>
    <row r="15" spans="1:27" s="91" customFormat="1" ht="24.95" customHeight="1" x14ac:dyDescent="0.25">
      <c r="A15" s="96" t="s">
        <v>87</v>
      </c>
      <c r="B15" s="102"/>
      <c r="C15" s="103">
        <f>Mārtiņš!EM15</f>
        <v>8</v>
      </c>
      <c r="D15" s="104"/>
      <c r="E15" s="105"/>
      <c r="F15" s="103">
        <f>'2'!$EM15</f>
        <v>5</v>
      </c>
      <c r="G15" s="104"/>
      <c r="H15" s="105"/>
      <c r="I15" s="103">
        <f>'3'!$EM15</f>
        <v>0</v>
      </c>
      <c r="J15" s="104"/>
      <c r="K15" s="105"/>
      <c r="L15" s="103">
        <f>'4'!$EM15</f>
        <v>0</v>
      </c>
      <c r="M15" s="104"/>
      <c r="N15" s="105"/>
      <c r="O15" s="103">
        <f>'5'!$EM15</f>
        <v>0</v>
      </c>
      <c r="P15" s="104"/>
      <c r="Q15" s="105"/>
      <c r="R15" s="103">
        <f>'6'!$EM15</f>
        <v>0</v>
      </c>
      <c r="S15" s="104"/>
      <c r="T15" s="105"/>
      <c r="U15" s="103">
        <f>'7'!$EM15</f>
        <v>0</v>
      </c>
      <c r="V15" s="104"/>
      <c r="W15" s="105"/>
      <c r="X15" s="103">
        <f>'8'!$EM15</f>
        <v>0</v>
      </c>
      <c r="Y15" s="104"/>
    </row>
    <row r="16" spans="1:27" s="84" customFormat="1" ht="1.1499999999999999" customHeight="1" x14ac:dyDescent="0.2">
      <c r="A16" s="107"/>
      <c r="B16" s="106"/>
      <c r="C16" s="106"/>
      <c r="D16" s="106"/>
      <c r="E16" s="106"/>
      <c r="F16" s="106"/>
      <c r="G16" s="106"/>
      <c r="H16" s="106"/>
      <c r="I16" s="106"/>
      <c r="J16" s="106"/>
      <c r="K16" s="106"/>
      <c r="L16" s="106"/>
      <c r="M16" s="106"/>
      <c r="N16" s="106"/>
      <c r="O16" s="106"/>
      <c r="P16" s="106"/>
      <c r="Q16" s="106"/>
      <c r="R16" s="106"/>
      <c r="S16" s="106"/>
      <c r="T16" s="106"/>
      <c r="U16" s="106"/>
      <c r="V16" s="106"/>
      <c r="W16" s="106"/>
      <c r="X16" s="106"/>
      <c r="Y16" s="106"/>
    </row>
    <row r="17" spans="1:25" s="91" customFormat="1" ht="24.95" customHeight="1" x14ac:dyDescent="0.25">
      <c r="A17" s="96" t="s">
        <v>88</v>
      </c>
      <c r="B17" s="102"/>
      <c r="C17" s="103">
        <f>Mārtiņš!EM17</f>
        <v>6</v>
      </c>
      <c r="D17" s="104"/>
      <c r="E17" s="105"/>
      <c r="F17" s="103">
        <f>'2'!$EM17</f>
        <v>6</v>
      </c>
      <c r="G17" s="104"/>
      <c r="H17" s="105"/>
      <c r="I17" s="103">
        <f>'3'!$EM17</f>
        <v>0</v>
      </c>
      <c r="J17" s="104"/>
      <c r="K17" s="105"/>
      <c r="L17" s="103">
        <f>'4'!$EM17</f>
        <v>0</v>
      </c>
      <c r="M17" s="104"/>
      <c r="N17" s="105"/>
      <c r="O17" s="103">
        <f>'5'!$EM17</f>
        <v>0</v>
      </c>
      <c r="P17" s="104"/>
      <c r="Q17" s="105"/>
      <c r="R17" s="103">
        <f>'6'!$EM17</f>
        <v>0</v>
      </c>
      <c r="S17" s="104"/>
      <c r="T17" s="105"/>
      <c r="U17" s="103">
        <f>'7'!$EM17</f>
        <v>0</v>
      </c>
      <c r="V17" s="104"/>
      <c r="W17" s="105"/>
      <c r="X17" s="103">
        <f>'8'!$EM17</f>
        <v>0</v>
      </c>
      <c r="Y17" s="104"/>
    </row>
    <row r="18" spans="1:25" s="84" customFormat="1" ht="1.1499999999999999" customHeight="1" x14ac:dyDescent="0.2">
      <c r="A18" s="107"/>
      <c r="B18" s="106"/>
      <c r="C18" s="106"/>
      <c r="D18" s="106"/>
      <c r="E18" s="106"/>
      <c r="F18" s="106"/>
      <c r="G18" s="106"/>
      <c r="H18" s="106"/>
      <c r="I18" s="106"/>
      <c r="J18" s="106"/>
      <c r="K18" s="106"/>
      <c r="L18" s="106"/>
      <c r="M18" s="106"/>
      <c r="N18" s="106"/>
      <c r="O18" s="106"/>
      <c r="P18" s="106"/>
      <c r="Q18" s="106"/>
      <c r="R18" s="106"/>
      <c r="S18" s="106"/>
      <c r="T18" s="106"/>
      <c r="U18" s="106"/>
      <c r="V18" s="106"/>
      <c r="W18" s="106"/>
      <c r="X18" s="106"/>
      <c r="Y18" s="106"/>
    </row>
    <row r="19" spans="1:25" s="91" customFormat="1" ht="24.95" customHeight="1" x14ac:dyDescent="0.25">
      <c r="A19" s="96" t="s">
        <v>89</v>
      </c>
      <c r="B19" s="102"/>
      <c r="C19" s="103">
        <f>Mārtiņš!EM19</f>
        <v>8</v>
      </c>
      <c r="D19" s="104"/>
      <c r="E19" s="105"/>
      <c r="F19" s="103">
        <f>'2'!$EM19</f>
        <v>8</v>
      </c>
      <c r="G19" s="104"/>
      <c r="H19" s="105"/>
      <c r="I19" s="103">
        <f>'3'!$EM19</f>
        <v>0</v>
      </c>
      <c r="J19" s="104"/>
      <c r="K19" s="105"/>
      <c r="L19" s="103">
        <f>'4'!$EM19</f>
        <v>0</v>
      </c>
      <c r="M19" s="104"/>
      <c r="N19" s="105"/>
      <c r="O19" s="103">
        <f>'5'!$EM19</f>
        <v>0</v>
      </c>
      <c r="P19" s="104"/>
      <c r="Q19" s="105"/>
      <c r="R19" s="103">
        <f>'6'!$EM19</f>
        <v>0</v>
      </c>
      <c r="S19" s="104"/>
      <c r="T19" s="105"/>
      <c r="U19" s="103">
        <f>'7'!$EM19</f>
        <v>0</v>
      </c>
      <c r="V19" s="104"/>
      <c r="W19" s="105"/>
      <c r="X19" s="103">
        <f>'8'!$EM19</f>
        <v>0</v>
      </c>
      <c r="Y19" s="104"/>
    </row>
    <row r="20" spans="1:25" s="84" customFormat="1" ht="1.1499999999999999" customHeight="1" x14ac:dyDescent="0.2">
      <c r="A20" s="107"/>
      <c r="B20" s="106"/>
      <c r="C20" s="106"/>
      <c r="D20" s="106"/>
      <c r="E20" s="106"/>
      <c r="F20" s="106"/>
      <c r="G20" s="106"/>
      <c r="H20" s="106"/>
      <c r="I20" s="106"/>
      <c r="J20" s="106"/>
      <c r="K20" s="106"/>
      <c r="L20" s="106"/>
      <c r="M20" s="106"/>
      <c r="N20" s="106"/>
      <c r="O20" s="106"/>
      <c r="P20" s="106"/>
      <c r="Q20" s="106"/>
      <c r="R20" s="106"/>
      <c r="S20" s="106"/>
      <c r="T20" s="106"/>
      <c r="U20" s="106"/>
      <c r="V20" s="106"/>
      <c r="W20" s="106"/>
      <c r="X20" s="106"/>
      <c r="Y20" s="106"/>
    </row>
    <row r="21" spans="1:25" s="91" customFormat="1" ht="24.95" customHeight="1" x14ac:dyDescent="0.25">
      <c r="A21" s="96" t="s">
        <v>90</v>
      </c>
      <c r="B21" s="102"/>
      <c r="C21" s="103">
        <f>Mārtiņš!EM21</f>
        <v>11</v>
      </c>
      <c r="D21" s="104"/>
      <c r="E21" s="105"/>
      <c r="F21" s="103">
        <f>'2'!$EM21</f>
        <v>11</v>
      </c>
      <c r="G21" s="104"/>
      <c r="H21" s="105"/>
      <c r="I21" s="103">
        <f>'3'!$EM21</f>
        <v>0</v>
      </c>
      <c r="J21" s="104"/>
      <c r="K21" s="105"/>
      <c r="L21" s="103">
        <f>'4'!$EM21</f>
        <v>0</v>
      </c>
      <c r="M21" s="104"/>
      <c r="N21" s="105"/>
      <c r="O21" s="103">
        <f>'5'!$EM21</f>
        <v>0</v>
      </c>
      <c r="P21" s="104"/>
      <c r="Q21" s="105"/>
      <c r="R21" s="103">
        <f>'6'!$EM21</f>
        <v>0</v>
      </c>
      <c r="S21" s="104"/>
      <c r="T21" s="105"/>
      <c r="U21" s="103">
        <f>'7'!$EM21</f>
        <v>0</v>
      </c>
      <c r="V21" s="104"/>
      <c r="W21" s="105"/>
      <c r="X21" s="103">
        <f>'8'!$EM21</f>
        <v>0</v>
      </c>
      <c r="Y21" s="104"/>
    </row>
    <row r="22" spans="1:25" s="84" customFormat="1" ht="1.1499999999999999" customHeight="1" x14ac:dyDescent="0.2">
      <c r="A22" s="108"/>
      <c r="B22" s="82"/>
      <c r="C22" s="82"/>
      <c r="D22" s="82"/>
      <c r="E22" s="82"/>
      <c r="F22" s="82"/>
      <c r="G22" s="82"/>
      <c r="H22" s="82"/>
      <c r="I22" s="82"/>
      <c r="J22" s="82"/>
      <c r="K22" s="82"/>
      <c r="L22" s="82"/>
      <c r="M22" s="82"/>
      <c r="N22" s="82"/>
      <c r="O22" s="82"/>
      <c r="P22" s="82"/>
      <c r="Q22" s="82"/>
      <c r="R22" s="82"/>
      <c r="S22" s="82"/>
      <c r="T22" s="82"/>
      <c r="U22" s="82"/>
      <c r="V22" s="82"/>
      <c r="W22" s="82"/>
      <c r="X22" s="82"/>
      <c r="Y22" s="82"/>
    </row>
    <row r="23" spans="1:25" s="84" customFormat="1" ht="12.75" customHeight="1" x14ac:dyDescent="0.2">
      <c r="A23" s="83"/>
      <c r="B23" s="92"/>
      <c r="C23" s="92"/>
      <c r="D23" s="92"/>
      <c r="E23" s="92"/>
      <c r="F23" s="92"/>
      <c r="G23" s="92"/>
      <c r="H23" s="92"/>
      <c r="I23" s="92"/>
      <c r="J23" s="92"/>
    </row>
    <row r="24" spans="1:25" s="91" customFormat="1" ht="19.899999999999999" customHeight="1" x14ac:dyDescent="0.25">
      <c r="A24" s="83"/>
      <c r="B24" s="92"/>
      <c r="C24" s="92"/>
      <c r="D24" s="92"/>
      <c r="E24" s="92"/>
      <c r="F24" s="92"/>
      <c r="G24" s="92"/>
      <c r="H24" s="92"/>
      <c r="I24" s="92"/>
      <c r="J24" s="92"/>
    </row>
    <row r="25" spans="1:25" s="91" customFormat="1" ht="19.899999999999999" customHeight="1" x14ac:dyDescent="0.25">
      <c r="A25" s="83"/>
      <c r="B25" s="87"/>
      <c r="C25" s="88"/>
      <c r="D25" s="89"/>
      <c r="E25" s="90"/>
      <c r="F25" s="88"/>
      <c r="G25" s="89"/>
      <c r="H25" s="90"/>
      <c r="I25" s="88"/>
      <c r="J25" s="89"/>
      <c r="K25" s="90"/>
      <c r="L25" s="88"/>
      <c r="M25" s="89"/>
      <c r="N25" s="90"/>
      <c r="O25" s="88"/>
      <c r="P25" s="89"/>
      <c r="Q25" s="90"/>
      <c r="R25" s="88"/>
      <c r="S25" s="89"/>
      <c r="T25" s="90"/>
      <c r="U25" s="88"/>
      <c r="V25" s="89"/>
      <c r="W25" s="90"/>
      <c r="X25" s="88"/>
      <c r="Y25" s="89"/>
    </row>
  </sheetData>
  <sheetProtection sheet="1" objects="1" scenarios="1" selectLockedCells="1"/>
  <mergeCells count="10">
    <mergeCell ref="X1:Y1"/>
    <mergeCell ref="T3:V3"/>
    <mergeCell ref="B3:D3"/>
    <mergeCell ref="B2:Y2"/>
    <mergeCell ref="W3:Y3"/>
    <mergeCell ref="E3:G3"/>
    <mergeCell ref="H3:J3"/>
    <mergeCell ref="K3:M3"/>
    <mergeCell ref="N3:P3"/>
    <mergeCell ref="Q3:S3"/>
  </mergeCells>
  <conditionalFormatting sqref="C5 C11 C13 C15 C17 C19 C21 C7 C9">
    <cfRule type="top10" dxfId="23" priority="87" rank="3"/>
  </conditionalFormatting>
  <conditionalFormatting sqref="F5 F7 F9 F11 F13 F15 F17 F19 F21">
    <cfRule type="top10" dxfId="22" priority="79" rank="3"/>
  </conditionalFormatting>
  <conditionalFormatting sqref="I5 I7 I9 I11 I13 I15 I17 I19 I21">
    <cfRule type="top10" dxfId="21" priority="78" rank="3"/>
  </conditionalFormatting>
  <conditionalFormatting sqref="L5 L7 L9 L11 L13 L15 L17 L19 L21">
    <cfRule type="top10" dxfId="20" priority="77" rank="3"/>
  </conditionalFormatting>
  <conditionalFormatting sqref="O5 O7 O9 O11 O13 O15 O17 O19 O21">
    <cfRule type="top10" dxfId="19" priority="76" rank="3"/>
  </conditionalFormatting>
  <conditionalFormatting sqref="R5 R7 R9 R11 R13 R15 R17 R19 R21">
    <cfRule type="top10" dxfId="18" priority="75" rank="3"/>
  </conditionalFormatting>
  <conditionalFormatting sqref="U5 U11 U13 U15 U17 U19 U21 U7 U9">
    <cfRule type="top10" dxfId="17" priority="74" rank="3"/>
  </conditionalFormatting>
  <conditionalFormatting sqref="X5 X7 X9 X11 X13 X15 X17 X19 X21">
    <cfRule type="top10" dxfId="16" priority="73" rank="3"/>
  </conditionalFormatting>
  <conditionalFormatting sqref="C25">
    <cfRule type="top10" dxfId="15" priority="16" rank="3"/>
  </conditionalFormatting>
  <conditionalFormatting sqref="F25">
    <cfRule type="top10" dxfId="14" priority="15" rank="3"/>
  </conditionalFormatting>
  <conditionalFormatting sqref="I25">
    <cfRule type="top10" dxfId="13" priority="14" rank="3"/>
  </conditionalFormatting>
  <conditionalFormatting sqref="L25">
    <cfRule type="top10" dxfId="12" priority="13" rank="3"/>
  </conditionalFormatting>
  <conditionalFormatting sqref="O25">
    <cfRule type="top10" dxfId="11" priority="12" rank="3"/>
  </conditionalFormatting>
  <conditionalFormatting sqref="R25">
    <cfRule type="top10" dxfId="10" priority="11" rank="3"/>
  </conditionalFormatting>
  <conditionalFormatting sqref="U25">
    <cfRule type="top10" dxfId="9" priority="10" rank="3"/>
  </conditionalFormatting>
  <conditionalFormatting sqref="X25">
    <cfRule type="top10" dxfId="8" priority="9" rank="3"/>
  </conditionalFormatting>
  <conditionalFormatting sqref="C5:C21">
    <cfRule type="top10" dxfId="7" priority="8" rank="1"/>
  </conditionalFormatting>
  <conditionalFormatting sqref="F5:F21">
    <cfRule type="top10" dxfId="6" priority="7" rank="1"/>
  </conditionalFormatting>
  <conditionalFormatting sqref="I5:I21">
    <cfRule type="top10" dxfId="5" priority="6" rank="1"/>
  </conditionalFormatting>
  <conditionalFormatting sqref="L5:L21">
    <cfRule type="top10" dxfId="4" priority="5" rank="1"/>
  </conditionalFormatting>
  <conditionalFormatting sqref="O5:O21">
    <cfRule type="top10" dxfId="3" priority="4" rank="1"/>
  </conditionalFormatting>
  <conditionalFormatting sqref="R5:R21">
    <cfRule type="top10" dxfId="2" priority="3" rank="1"/>
  </conditionalFormatting>
  <conditionalFormatting sqref="U5:U21">
    <cfRule type="top10" dxfId="1" priority="2" rank="1"/>
  </conditionalFormatting>
  <conditionalFormatting sqref="X5:X21">
    <cfRule type="top10" dxfId="0" priority="1" rank="1"/>
  </conditionalFormatting>
  <printOptions horizontalCentered="1" verticalCentered="1"/>
  <pageMargins left="0.7" right="0.7" top="1" bottom="0.75" header="0.3" footer="0.3"/>
  <pageSetup paperSize="9" scale="61" orientation="landscape" verticalDpi="0" r:id="rId1"/>
  <headerFooter>
    <oddHeader>&amp;C&amp;24&amp;K03+000
Groupresult Belbin test&amp;R&amp;G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0"/>
  <dimension ref="A1:I10"/>
  <sheetViews>
    <sheetView workbookViewId="0">
      <selection activeCell="C18" sqref="C18"/>
    </sheetView>
  </sheetViews>
  <sheetFormatPr defaultColWidth="9.140625" defaultRowHeight="15" x14ac:dyDescent="0.25"/>
  <cols>
    <col min="1" max="1" width="18.85546875" bestFit="1" customWidth="1"/>
    <col min="2" max="9" width="10.7109375" customWidth="1"/>
    <col min="10" max="10" width="9.140625" customWidth="1"/>
  </cols>
  <sheetData>
    <row r="1" spans="1:9" x14ac:dyDescent="0.25">
      <c r="B1" t="str">
        <f>Total!B3</f>
        <v>Mārtiņš</v>
      </c>
      <c r="C1">
        <f>Total!E3</f>
        <v>2</v>
      </c>
      <c r="D1" t="str">
        <f>Total!H3</f>
        <v/>
      </c>
      <c r="E1" t="str">
        <f>Total!K3</f>
        <v/>
      </c>
      <c r="F1" t="str">
        <f>Total!N3</f>
        <v/>
      </c>
      <c r="G1" t="str">
        <f>Total!Q3</f>
        <v/>
      </c>
      <c r="H1" t="str">
        <f>Total!T3</f>
        <v/>
      </c>
      <c r="I1" t="str">
        <f>Total!W3</f>
        <v/>
      </c>
    </row>
    <row r="2" spans="1:9" x14ac:dyDescent="0.25">
      <c r="A2" t="str">
        <f>Total!A5</f>
        <v>Implementor</v>
      </c>
      <c r="B2">
        <f>Total!C5</f>
        <v>6</v>
      </c>
      <c r="C2">
        <f>Total!F5</f>
        <v>9</v>
      </c>
      <c r="D2">
        <f>Total!I5</f>
        <v>0</v>
      </c>
      <c r="E2">
        <f>Total!L5</f>
        <v>0</v>
      </c>
      <c r="F2">
        <f>Total!O5</f>
        <v>0</v>
      </c>
      <c r="G2">
        <f>Total!R5</f>
        <v>0</v>
      </c>
      <c r="H2">
        <f>Total!U5</f>
        <v>0</v>
      </c>
      <c r="I2">
        <f>Total!X5</f>
        <v>0</v>
      </c>
    </row>
    <row r="3" spans="1:9" x14ac:dyDescent="0.25">
      <c r="A3" t="str">
        <f>Total!A7</f>
        <v>Coordinator</v>
      </c>
      <c r="B3">
        <f>Total!C7</f>
        <v>7</v>
      </c>
      <c r="C3">
        <f>Total!F7</f>
        <v>5</v>
      </c>
      <c r="D3">
        <f>Total!I7</f>
        <v>0</v>
      </c>
      <c r="E3">
        <f>Total!L7</f>
        <v>0</v>
      </c>
      <c r="F3">
        <f>Total!O7</f>
        <v>0</v>
      </c>
      <c r="G3">
        <f>Total!R7</f>
        <v>0</v>
      </c>
      <c r="H3">
        <f>Total!U7</f>
        <v>0</v>
      </c>
      <c r="I3">
        <f>Total!X7</f>
        <v>0</v>
      </c>
    </row>
    <row r="4" spans="1:9" x14ac:dyDescent="0.25">
      <c r="A4" t="str">
        <f>Total!A9</f>
        <v>Shaper</v>
      </c>
      <c r="B4">
        <f>Total!C9</f>
        <v>12</v>
      </c>
      <c r="C4">
        <f>Total!F9</f>
        <v>14</v>
      </c>
      <c r="D4">
        <f>Total!I9</f>
        <v>0</v>
      </c>
      <c r="E4">
        <f>Total!L9</f>
        <v>0</v>
      </c>
      <c r="F4">
        <f>Total!O9</f>
        <v>0</v>
      </c>
      <c r="G4">
        <f>Total!R9</f>
        <v>0</v>
      </c>
      <c r="H4">
        <f>Total!U9</f>
        <v>0</v>
      </c>
      <c r="I4">
        <f>Total!X9</f>
        <v>0</v>
      </c>
    </row>
    <row r="5" spans="1:9" x14ac:dyDescent="0.25">
      <c r="A5" t="str">
        <f>Total!A11</f>
        <v>Plant</v>
      </c>
      <c r="B5">
        <f>Total!C11</f>
        <v>8</v>
      </c>
      <c r="C5">
        <f>Total!F11</f>
        <v>8</v>
      </c>
      <c r="D5">
        <f>Total!I11</f>
        <v>0</v>
      </c>
      <c r="E5">
        <f>Total!L11</f>
        <v>0</v>
      </c>
      <c r="F5">
        <f>Total!O11</f>
        <v>0</v>
      </c>
      <c r="G5">
        <f>Total!R11</f>
        <v>0</v>
      </c>
      <c r="H5">
        <f>Total!U11</f>
        <v>0</v>
      </c>
      <c r="I5">
        <f>Total!X11</f>
        <v>0</v>
      </c>
    </row>
    <row r="6" spans="1:9" x14ac:dyDescent="0.25">
      <c r="A6" t="str">
        <f>Total!A13</f>
        <v>Resource Investigator</v>
      </c>
      <c r="B6">
        <f>Total!C13</f>
        <v>4</v>
      </c>
      <c r="C6">
        <f>Total!F13</f>
        <v>4</v>
      </c>
      <c r="D6">
        <f>Total!I13</f>
        <v>0</v>
      </c>
      <c r="E6">
        <f>Total!L13</f>
        <v>0</v>
      </c>
      <c r="F6">
        <f>Total!O13</f>
        <v>0</v>
      </c>
      <c r="G6">
        <f>Total!R13</f>
        <v>0</v>
      </c>
      <c r="H6">
        <f>Total!U13</f>
        <v>0</v>
      </c>
      <c r="I6">
        <f>Total!X13</f>
        <v>0</v>
      </c>
    </row>
    <row r="7" spans="1:9" x14ac:dyDescent="0.25">
      <c r="A7" t="str">
        <f>Total!A15</f>
        <v>Monitor Evaluator</v>
      </c>
      <c r="B7">
        <f>Total!C15</f>
        <v>8</v>
      </c>
      <c r="C7">
        <f>Total!F15</f>
        <v>5</v>
      </c>
      <c r="D7">
        <f>Total!I15</f>
        <v>0</v>
      </c>
      <c r="E7">
        <f>Total!L15</f>
        <v>0</v>
      </c>
      <c r="F7">
        <f>Total!O15</f>
        <v>0</v>
      </c>
      <c r="G7">
        <f>Total!R15</f>
        <v>0</v>
      </c>
      <c r="H7">
        <f>Total!U15</f>
        <v>0</v>
      </c>
      <c r="I7">
        <f>Total!X15</f>
        <v>0</v>
      </c>
    </row>
    <row r="8" spans="1:9" x14ac:dyDescent="0.25">
      <c r="A8" t="str">
        <f>Total!A17</f>
        <v>Team Worker</v>
      </c>
      <c r="B8">
        <f>Total!C17</f>
        <v>6</v>
      </c>
      <c r="C8">
        <f>Total!F17</f>
        <v>6</v>
      </c>
      <c r="D8">
        <f>Total!I17</f>
        <v>0</v>
      </c>
      <c r="E8">
        <f>Total!L17</f>
        <v>0</v>
      </c>
      <c r="F8">
        <f>Total!O17</f>
        <v>0</v>
      </c>
      <c r="G8">
        <f>Total!R17</f>
        <v>0</v>
      </c>
      <c r="H8">
        <f>Total!U17</f>
        <v>0</v>
      </c>
      <c r="I8">
        <f>Total!X17</f>
        <v>0</v>
      </c>
    </row>
    <row r="9" spans="1:9" x14ac:dyDescent="0.25">
      <c r="A9" t="str">
        <f>Total!A19</f>
        <v>Complete Finisher</v>
      </c>
      <c r="B9">
        <f>Total!C19</f>
        <v>8</v>
      </c>
      <c r="C9">
        <f>Total!F19</f>
        <v>8</v>
      </c>
      <c r="D9">
        <f>Total!I19</f>
        <v>0</v>
      </c>
      <c r="E9">
        <f>Total!L19</f>
        <v>0</v>
      </c>
      <c r="F9">
        <f>Total!O19</f>
        <v>0</v>
      </c>
      <c r="G9">
        <f>Total!R19</f>
        <v>0</v>
      </c>
      <c r="H9">
        <f>Total!U19</f>
        <v>0</v>
      </c>
      <c r="I9">
        <f>Total!X19</f>
        <v>0</v>
      </c>
    </row>
    <row r="10" spans="1:9" x14ac:dyDescent="0.25">
      <c r="A10" t="str">
        <f>Total!A21</f>
        <v>Specialist</v>
      </c>
      <c r="B10">
        <f>Total!C21</f>
        <v>11</v>
      </c>
      <c r="C10">
        <f>Total!F21</f>
        <v>11</v>
      </c>
      <c r="D10">
        <f>Total!I21</f>
        <v>0</v>
      </c>
      <c r="E10">
        <f>Total!L21</f>
        <v>0</v>
      </c>
      <c r="F10">
        <f>Total!O21</f>
        <v>0</v>
      </c>
      <c r="G10">
        <f>Total!R21</f>
        <v>0</v>
      </c>
      <c r="H10">
        <f>Total!U21</f>
        <v>0</v>
      </c>
      <c r="I10">
        <f>Total!X21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2">
    <pageSetUpPr fitToPage="1"/>
  </sheetPr>
  <dimension ref="A1:F20"/>
  <sheetViews>
    <sheetView showGridLines="0" tabSelected="1" workbookViewId="0">
      <pane ySplit="1" topLeftCell="A2" activePane="bottomLeft" state="frozen"/>
      <selection pane="bottomLeft" activeCell="E9" sqref="E9:E10"/>
    </sheetView>
  </sheetViews>
  <sheetFormatPr defaultRowHeight="15" x14ac:dyDescent="0.25"/>
  <cols>
    <col min="1" max="1" width="13" customWidth="1"/>
    <col min="2" max="2" width="17.5703125" customWidth="1"/>
    <col min="3" max="3" width="63.5703125" customWidth="1"/>
    <col min="4" max="4" width="34.5703125" bestFit="1" customWidth="1"/>
    <col min="5" max="5" width="56.7109375" customWidth="1"/>
    <col min="6" max="6" width="34.7109375" customWidth="1"/>
  </cols>
  <sheetData>
    <row r="1" spans="1:6" ht="47.45" customHeight="1" x14ac:dyDescent="0.25">
      <c r="A1" s="43"/>
      <c r="B1" s="43" t="s">
        <v>95</v>
      </c>
      <c r="C1" s="43" t="s">
        <v>96</v>
      </c>
      <c r="D1" s="43" t="s">
        <v>97</v>
      </c>
      <c r="E1" s="43" t="s">
        <v>98</v>
      </c>
      <c r="F1" s="43" t="s">
        <v>99</v>
      </c>
    </row>
    <row r="2" spans="1:6" ht="54" customHeight="1" x14ac:dyDescent="0.25">
      <c r="A2" s="175"/>
      <c r="B2" s="175" t="s">
        <v>100</v>
      </c>
      <c r="C2" s="176" t="s">
        <v>101</v>
      </c>
      <c r="D2" s="176" t="s">
        <v>102</v>
      </c>
      <c r="E2" s="181" t="s">
        <v>103</v>
      </c>
      <c r="F2" s="44" t="s">
        <v>104</v>
      </c>
    </row>
    <row r="3" spans="1:6" ht="54" customHeight="1" x14ac:dyDescent="0.25">
      <c r="A3" s="180"/>
      <c r="B3" s="180"/>
      <c r="C3" s="172"/>
      <c r="D3" s="172"/>
      <c r="E3" s="172"/>
      <c r="F3" s="45" t="s">
        <v>105</v>
      </c>
    </row>
    <row r="4" spans="1:6" ht="54" customHeight="1" x14ac:dyDescent="0.25">
      <c r="A4" s="177"/>
      <c r="B4" s="177" t="s">
        <v>86</v>
      </c>
      <c r="C4" s="178" t="s">
        <v>106</v>
      </c>
      <c r="D4" s="178" t="s">
        <v>107</v>
      </c>
      <c r="E4" s="179" t="s">
        <v>108</v>
      </c>
      <c r="F4" s="47" t="s">
        <v>109</v>
      </c>
    </row>
    <row r="5" spans="1:6" ht="54" customHeight="1" x14ac:dyDescent="0.25">
      <c r="A5" s="177"/>
      <c r="B5" s="177"/>
      <c r="C5" s="178"/>
      <c r="D5" s="178"/>
      <c r="E5" s="178"/>
      <c r="F5" s="47" t="s">
        <v>110</v>
      </c>
    </row>
    <row r="6" spans="1:6" ht="33.950000000000003" customHeight="1" x14ac:dyDescent="0.25">
      <c r="A6" s="174"/>
      <c r="B6" s="174" t="s">
        <v>111</v>
      </c>
      <c r="C6" s="171" t="s">
        <v>112</v>
      </c>
      <c r="D6" s="46" t="s">
        <v>113</v>
      </c>
      <c r="E6" s="173" t="s">
        <v>114</v>
      </c>
      <c r="F6" s="46" t="s">
        <v>115</v>
      </c>
    </row>
    <row r="7" spans="1:6" ht="33.950000000000003" customHeight="1" x14ac:dyDescent="0.25">
      <c r="A7" s="175"/>
      <c r="B7" s="175"/>
      <c r="C7" s="176"/>
      <c r="D7" s="44" t="s">
        <v>116</v>
      </c>
      <c r="E7" s="176"/>
      <c r="F7" s="176" t="s">
        <v>117</v>
      </c>
    </row>
    <row r="8" spans="1:6" ht="33.950000000000003" customHeight="1" x14ac:dyDescent="0.25">
      <c r="A8" s="180"/>
      <c r="B8" s="180"/>
      <c r="C8" s="172"/>
      <c r="D8" s="45" t="s">
        <v>118</v>
      </c>
      <c r="E8" s="172"/>
      <c r="F8" s="172"/>
    </row>
    <row r="9" spans="1:6" ht="54" customHeight="1" x14ac:dyDescent="0.25">
      <c r="A9" s="177"/>
      <c r="B9" s="177" t="s">
        <v>84</v>
      </c>
      <c r="C9" s="178" t="s">
        <v>119</v>
      </c>
      <c r="D9" s="178" t="s">
        <v>120</v>
      </c>
      <c r="E9" s="179" t="s">
        <v>121</v>
      </c>
      <c r="F9" s="47" t="s">
        <v>122</v>
      </c>
    </row>
    <row r="10" spans="1:6" ht="54" customHeight="1" x14ac:dyDescent="0.25">
      <c r="A10" s="177"/>
      <c r="B10" s="177"/>
      <c r="C10" s="178"/>
      <c r="D10" s="178"/>
      <c r="E10" s="178"/>
      <c r="F10" s="47" t="s">
        <v>123</v>
      </c>
    </row>
    <row r="11" spans="1:6" ht="54" customHeight="1" x14ac:dyDescent="0.25">
      <c r="A11" s="174"/>
      <c r="B11" s="174" t="s">
        <v>87</v>
      </c>
      <c r="C11" s="171" t="s">
        <v>124</v>
      </c>
      <c r="D11" s="171" t="s">
        <v>125</v>
      </c>
      <c r="E11" s="173" t="s">
        <v>126</v>
      </c>
      <c r="F11" s="46" t="s">
        <v>127</v>
      </c>
    </row>
    <row r="12" spans="1:6" ht="54" customHeight="1" x14ac:dyDescent="0.25">
      <c r="A12" s="180"/>
      <c r="B12" s="180"/>
      <c r="C12" s="172"/>
      <c r="D12" s="172"/>
      <c r="E12" s="172"/>
      <c r="F12" s="45" t="s">
        <v>128</v>
      </c>
    </row>
    <row r="13" spans="1:6" ht="54" customHeight="1" x14ac:dyDescent="0.25">
      <c r="A13" s="177"/>
      <c r="B13" s="177" t="s">
        <v>129</v>
      </c>
      <c r="C13" s="178" t="s">
        <v>130</v>
      </c>
      <c r="D13" s="178" t="s">
        <v>131</v>
      </c>
      <c r="E13" s="179" t="s">
        <v>132</v>
      </c>
      <c r="F13" s="47" t="s">
        <v>133</v>
      </c>
    </row>
    <row r="14" spans="1:6" ht="54" customHeight="1" x14ac:dyDescent="0.25">
      <c r="A14" s="177"/>
      <c r="B14" s="177"/>
      <c r="C14" s="178"/>
      <c r="D14" s="178"/>
      <c r="E14" s="178"/>
      <c r="F14" s="47" t="s">
        <v>134</v>
      </c>
    </row>
    <row r="15" spans="1:6" ht="54" customHeight="1" x14ac:dyDescent="0.25">
      <c r="A15" s="174"/>
      <c r="B15" s="174" t="s">
        <v>135</v>
      </c>
      <c r="C15" s="171" t="s">
        <v>136</v>
      </c>
      <c r="D15" s="171" t="s">
        <v>137</v>
      </c>
      <c r="E15" s="173" t="s">
        <v>138</v>
      </c>
      <c r="F15" s="46" t="s">
        <v>139</v>
      </c>
    </row>
    <row r="16" spans="1:6" ht="54" customHeight="1" x14ac:dyDescent="0.25">
      <c r="A16" s="180"/>
      <c r="B16" s="180"/>
      <c r="C16" s="172"/>
      <c r="D16" s="172"/>
      <c r="E16" s="172"/>
      <c r="F16" s="45" t="s">
        <v>140</v>
      </c>
    </row>
    <row r="17" spans="1:6" ht="54" customHeight="1" x14ac:dyDescent="0.25">
      <c r="A17" s="177"/>
      <c r="B17" s="177" t="s">
        <v>141</v>
      </c>
      <c r="C17" s="178" t="s">
        <v>142</v>
      </c>
      <c r="D17" s="47" t="s">
        <v>143</v>
      </c>
      <c r="E17" s="179" t="s">
        <v>144</v>
      </c>
      <c r="F17" s="47" t="s">
        <v>145</v>
      </c>
    </row>
    <row r="18" spans="1:6" ht="54" customHeight="1" x14ac:dyDescent="0.25">
      <c r="A18" s="177"/>
      <c r="B18" s="177"/>
      <c r="C18" s="178"/>
      <c r="D18" s="47" t="s">
        <v>146</v>
      </c>
      <c r="E18" s="178"/>
      <c r="F18" s="47" t="s">
        <v>147</v>
      </c>
    </row>
    <row r="19" spans="1:6" ht="54" customHeight="1" x14ac:dyDescent="0.25">
      <c r="A19" s="174"/>
      <c r="B19" s="174" t="s">
        <v>90</v>
      </c>
      <c r="C19" s="171" t="s">
        <v>148</v>
      </c>
      <c r="D19" s="171" t="s">
        <v>149</v>
      </c>
      <c r="E19" s="173" t="s">
        <v>150</v>
      </c>
      <c r="F19" s="46" t="s">
        <v>151</v>
      </c>
    </row>
    <row r="20" spans="1:6" ht="54" customHeight="1" x14ac:dyDescent="0.25">
      <c r="A20" s="175"/>
      <c r="B20" s="175"/>
      <c r="C20" s="176"/>
      <c r="D20" s="176"/>
      <c r="E20" s="176"/>
      <c r="F20" s="44" t="s">
        <v>152</v>
      </c>
    </row>
  </sheetData>
  <mergeCells count="44">
    <mergeCell ref="A4:A5"/>
    <mergeCell ref="B4:B5"/>
    <mergeCell ref="C4:C5"/>
    <mergeCell ref="D4:D5"/>
    <mergeCell ref="E4:E5"/>
    <mergeCell ref="A2:A3"/>
    <mergeCell ref="B2:B3"/>
    <mergeCell ref="C2:C3"/>
    <mergeCell ref="D2:D3"/>
    <mergeCell ref="E2:E3"/>
    <mergeCell ref="A9:A10"/>
    <mergeCell ref="B9:B10"/>
    <mergeCell ref="C9:C10"/>
    <mergeCell ref="D9:D10"/>
    <mergeCell ref="E9:E10"/>
    <mergeCell ref="A6:A8"/>
    <mergeCell ref="B6:B8"/>
    <mergeCell ref="C6:C8"/>
    <mergeCell ref="E6:E8"/>
    <mergeCell ref="F7:F8"/>
    <mergeCell ref="A13:A14"/>
    <mergeCell ref="B13:B14"/>
    <mergeCell ref="C13:C14"/>
    <mergeCell ref="D13:D14"/>
    <mergeCell ref="E13:E14"/>
    <mergeCell ref="A11:A12"/>
    <mergeCell ref="B11:B12"/>
    <mergeCell ref="C11:C12"/>
    <mergeCell ref="D11:D12"/>
    <mergeCell ref="E11:E12"/>
    <mergeCell ref="C15:C16"/>
    <mergeCell ref="D15:D16"/>
    <mergeCell ref="E15:E16"/>
    <mergeCell ref="A19:A20"/>
    <mergeCell ref="B19:B20"/>
    <mergeCell ref="C19:C20"/>
    <mergeCell ref="D19:D20"/>
    <mergeCell ref="E19:E20"/>
    <mergeCell ref="A17:A18"/>
    <mergeCell ref="B17:B18"/>
    <mergeCell ref="C17:C18"/>
    <mergeCell ref="E17:E18"/>
    <mergeCell ref="A15:A16"/>
    <mergeCell ref="B15:B16"/>
  </mergeCells>
  <printOptions horizontalCentered="1" verticalCentered="1"/>
  <pageMargins left="0.7" right="0.7" top="0.75" bottom="0.75" header="0.3" footer="0.3"/>
  <pageSetup paperSize="9" scale="47"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3">
    <pageSetUpPr fitToPage="1"/>
  </sheetPr>
  <dimension ref="A1:F21"/>
  <sheetViews>
    <sheetView showGridLines="0" workbookViewId="0">
      <pane ySplit="2" topLeftCell="A3" activePane="bottomLeft" state="frozen"/>
      <selection pane="bottomLeft"/>
    </sheetView>
  </sheetViews>
  <sheetFormatPr defaultRowHeight="15" x14ac:dyDescent="0.25"/>
  <cols>
    <col min="1" max="1" width="17.5703125" customWidth="1"/>
    <col min="2" max="2" width="63.5703125" customWidth="1"/>
    <col min="3" max="3" width="34.5703125" bestFit="1" customWidth="1"/>
    <col min="4" max="4" width="56.7109375" customWidth="1"/>
    <col min="5" max="5" width="34.7109375" customWidth="1"/>
  </cols>
  <sheetData>
    <row r="1" spans="1:6" ht="43.5" customHeight="1" x14ac:dyDescent="0.25">
      <c r="F1" s="37" t="s">
        <v>161</v>
      </c>
    </row>
    <row r="2" spans="1:6" ht="27.75" customHeight="1" x14ac:dyDescent="0.25">
      <c r="A2" s="48" t="s">
        <v>95</v>
      </c>
      <c r="B2" s="48" t="s">
        <v>96</v>
      </c>
      <c r="C2" s="48" t="s">
        <v>97</v>
      </c>
      <c r="D2" s="48" t="s">
        <v>98</v>
      </c>
      <c r="E2" s="48" t="s">
        <v>99</v>
      </c>
      <c r="F2" s="37">
        <v>1</v>
      </c>
    </row>
    <row r="3" spans="1:6" ht="54" customHeight="1" x14ac:dyDescent="0.25">
      <c r="A3" s="183" t="s">
        <v>100</v>
      </c>
      <c r="B3" s="185" t="s">
        <v>101</v>
      </c>
      <c r="C3" s="185" t="s">
        <v>102</v>
      </c>
      <c r="D3" s="192" t="s">
        <v>103</v>
      </c>
      <c r="E3" s="49" t="s">
        <v>104</v>
      </c>
    </row>
    <row r="4" spans="1:6" ht="54" customHeight="1" x14ac:dyDescent="0.25">
      <c r="A4" s="187"/>
      <c r="B4" s="188"/>
      <c r="C4" s="188"/>
      <c r="D4" s="188"/>
      <c r="E4" s="50" t="s">
        <v>105</v>
      </c>
    </row>
    <row r="5" spans="1:6" ht="54" hidden="1" customHeight="1" x14ac:dyDescent="0.25">
      <c r="A5" s="189" t="s">
        <v>86</v>
      </c>
      <c r="B5" s="190" t="s">
        <v>106</v>
      </c>
      <c r="C5" s="190" t="s">
        <v>153</v>
      </c>
      <c r="D5" s="191" t="s">
        <v>108</v>
      </c>
      <c r="E5" s="51" t="s">
        <v>109</v>
      </c>
    </row>
    <row r="6" spans="1:6" ht="54" hidden="1" customHeight="1" x14ac:dyDescent="0.25">
      <c r="A6" s="189"/>
      <c r="B6" s="190"/>
      <c r="C6" s="190"/>
      <c r="D6" s="190"/>
      <c r="E6" s="51" t="s">
        <v>110</v>
      </c>
    </row>
    <row r="7" spans="1:6" ht="33.950000000000003" hidden="1" customHeight="1" x14ac:dyDescent="0.25">
      <c r="A7" s="182" t="s">
        <v>111</v>
      </c>
      <c r="B7" s="184" t="s">
        <v>112</v>
      </c>
      <c r="C7" s="52" t="s">
        <v>113</v>
      </c>
      <c r="D7" s="186" t="s">
        <v>114</v>
      </c>
      <c r="E7" s="52" t="s">
        <v>115</v>
      </c>
    </row>
    <row r="8" spans="1:6" ht="33.950000000000003" hidden="1" customHeight="1" x14ac:dyDescent="0.25">
      <c r="A8" s="183"/>
      <c r="B8" s="185"/>
      <c r="C8" s="49" t="s">
        <v>116</v>
      </c>
      <c r="D8" s="185"/>
      <c r="E8" s="185" t="s">
        <v>117</v>
      </c>
    </row>
    <row r="9" spans="1:6" ht="33.950000000000003" hidden="1" customHeight="1" x14ac:dyDescent="0.25">
      <c r="A9" s="187"/>
      <c r="B9" s="188"/>
      <c r="C9" s="50" t="s">
        <v>118</v>
      </c>
      <c r="D9" s="188"/>
      <c r="E9" s="188"/>
    </row>
    <row r="10" spans="1:6" ht="54" hidden="1" customHeight="1" x14ac:dyDescent="0.25">
      <c r="A10" s="189" t="s">
        <v>84</v>
      </c>
      <c r="B10" s="190" t="s">
        <v>119</v>
      </c>
      <c r="C10" s="190" t="s">
        <v>120</v>
      </c>
      <c r="D10" s="191" t="s">
        <v>121</v>
      </c>
      <c r="E10" s="51" t="s">
        <v>122</v>
      </c>
    </row>
    <row r="11" spans="1:6" ht="54" hidden="1" customHeight="1" x14ac:dyDescent="0.25">
      <c r="A11" s="189"/>
      <c r="B11" s="190"/>
      <c r="C11" s="190"/>
      <c r="D11" s="190"/>
      <c r="E11" s="51" t="s">
        <v>123</v>
      </c>
    </row>
    <row r="12" spans="1:6" ht="54" hidden="1" customHeight="1" x14ac:dyDescent="0.25">
      <c r="A12" s="182" t="s">
        <v>87</v>
      </c>
      <c r="B12" s="184" t="s">
        <v>124</v>
      </c>
      <c r="C12" s="184" t="s">
        <v>125</v>
      </c>
      <c r="D12" s="186" t="s">
        <v>126</v>
      </c>
      <c r="E12" s="52" t="s">
        <v>127</v>
      </c>
    </row>
    <row r="13" spans="1:6" ht="54" hidden="1" customHeight="1" x14ac:dyDescent="0.25">
      <c r="A13" s="187"/>
      <c r="B13" s="188"/>
      <c r="C13" s="188"/>
      <c r="D13" s="188"/>
      <c r="E13" s="50" t="s">
        <v>128</v>
      </c>
    </row>
    <row r="14" spans="1:6" ht="54" hidden="1" customHeight="1" x14ac:dyDescent="0.25">
      <c r="A14" s="189" t="s">
        <v>129</v>
      </c>
      <c r="B14" s="190" t="s">
        <v>130</v>
      </c>
      <c r="C14" s="190" t="s">
        <v>131</v>
      </c>
      <c r="D14" s="191" t="s">
        <v>132</v>
      </c>
      <c r="E14" s="51" t="s">
        <v>133</v>
      </c>
    </row>
    <row r="15" spans="1:6" ht="54" hidden="1" customHeight="1" x14ac:dyDescent="0.25">
      <c r="A15" s="189"/>
      <c r="B15" s="190"/>
      <c r="C15" s="190"/>
      <c r="D15" s="190"/>
      <c r="E15" s="51" t="s">
        <v>134</v>
      </c>
    </row>
    <row r="16" spans="1:6" ht="54" hidden="1" customHeight="1" x14ac:dyDescent="0.25">
      <c r="A16" s="182" t="s">
        <v>135</v>
      </c>
      <c r="B16" s="184" t="s">
        <v>136</v>
      </c>
      <c r="C16" s="184" t="s">
        <v>137</v>
      </c>
      <c r="D16" s="186" t="s">
        <v>138</v>
      </c>
      <c r="E16" s="52" t="s">
        <v>139</v>
      </c>
    </row>
    <row r="17" spans="1:5" ht="54" hidden="1" customHeight="1" x14ac:dyDescent="0.25">
      <c r="A17" s="187"/>
      <c r="B17" s="188"/>
      <c r="C17" s="188"/>
      <c r="D17" s="188"/>
      <c r="E17" s="50" t="s">
        <v>140</v>
      </c>
    </row>
    <row r="18" spans="1:5" ht="54" hidden="1" customHeight="1" x14ac:dyDescent="0.25">
      <c r="A18" s="189" t="s">
        <v>141</v>
      </c>
      <c r="B18" s="190" t="s">
        <v>142</v>
      </c>
      <c r="C18" s="51" t="s">
        <v>143</v>
      </c>
      <c r="D18" s="191" t="s">
        <v>144</v>
      </c>
      <c r="E18" s="51" t="s">
        <v>145</v>
      </c>
    </row>
    <row r="19" spans="1:5" ht="54" hidden="1" customHeight="1" x14ac:dyDescent="0.25">
      <c r="A19" s="189"/>
      <c r="B19" s="190"/>
      <c r="C19" s="51" t="s">
        <v>146</v>
      </c>
      <c r="D19" s="190"/>
      <c r="E19" s="51" t="s">
        <v>147</v>
      </c>
    </row>
    <row r="20" spans="1:5" ht="54" hidden="1" customHeight="1" x14ac:dyDescent="0.25">
      <c r="A20" s="182" t="s">
        <v>90</v>
      </c>
      <c r="B20" s="184" t="s">
        <v>148</v>
      </c>
      <c r="C20" s="184" t="s">
        <v>149</v>
      </c>
      <c r="D20" s="186" t="s">
        <v>150</v>
      </c>
      <c r="E20" s="52" t="s">
        <v>151</v>
      </c>
    </row>
    <row r="21" spans="1:5" ht="54" hidden="1" customHeight="1" x14ac:dyDescent="0.25">
      <c r="A21" s="183"/>
      <c r="B21" s="185"/>
      <c r="C21" s="185"/>
      <c r="D21" s="185"/>
      <c r="E21" s="49" t="s">
        <v>152</v>
      </c>
    </row>
  </sheetData>
  <mergeCells count="35">
    <mergeCell ref="A3:A4"/>
    <mergeCell ref="B3:B4"/>
    <mergeCell ref="C3:C4"/>
    <mergeCell ref="D3:D4"/>
    <mergeCell ref="A5:A6"/>
    <mergeCell ref="B5:B6"/>
    <mergeCell ref="C5:C6"/>
    <mergeCell ref="D5:D6"/>
    <mergeCell ref="A7:A9"/>
    <mergeCell ref="B7:B9"/>
    <mergeCell ref="D7:D9"/>
    <mergeCell ref="E8:E9"/>
    <mergeCell ref="A10:A11"/>
    <mergeCell ref="B10:B11"/>
    <mergeCell ref="C10:C11"/>
    <mergeCell ref="D10:D11"/>
    <mergeCell ref="A12:A13"/>
    <mergeCell ref="B12:B13"/>
    <mergeCell ref="C12:C13"/>
    <mergeCell ref="D12:D13"/>
    <mergeCell ref="A14:A15"/>
    <mergeCell ref="B14:B15"/>
    <mergeCell ref="C14:C15"/>
    <mergeCell ref="D14:D15"/>
    <mergeCell ref="A20:A21"/>
    <mergeCell ref="B20:B21"/>
    <mergeCell ref="C20:C21"/>
    <mergeCell ref="D20:D21"/>
    <mergeCell ref="A16:A17"/>
    <mergeCell ref="B16:B17"/>
    <mergeCell ref="C16:C17"/>
    <mergeCell ref="D16:D17"/>
    <mergeCell ref="A18:A19"/>
    <mergeCell ref="B18:B19"/>
    <mergeCell ref="D18:D19"/>
  </mergeCells>
  <printOptions horizontalCentered="1" verticalCentered="1"/>
  <pageMargins left="0.70866141732283472" right="0.70866141732283472" top="0.74803149606299213" bottom="0.74803149606299213" header="0.31496062992125984" footer="0.31496062992125984"/>
  <pageSetup paperSize="9" scale="47" orientation="landscape"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vt:lpstr>
      <vt:lpstr>Mārtiņš</vt:lpstr>
      <vt:lpstr>2</vt:lpstr>
      <vt:lpstr>3</vt:lpstr>
      <vt:lpstr>4</vt:lpstr>
      <vt:lpstr>5</vt:lpstr>
      <vt:lpstr>6</vt:lpstr>
      <vt:lpstr>7</vt:lpstr>
      <vt:lpstr>8</vt:lpstr>
      <vt:lpstr>Total</vt:lpstr>
      <vt:lpstr>Graph</vt:lpstr>
      <vt:lpstr>Belbin Roles</vt:lpstr>
      <vt:lpstr>Belbin Roles (2)</vt:lpstr>
    </vt:vector>
  </TitlesOfParts>
  <Company>Saxion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saxion</dc:creator>
  <cp:lastModifiedBy>Mārtiņš Dāvis Bernhards</cp:lastModifiedBy>
  <cp:lastPrinted>2015-08-28T13:25:53Z</cp:lastPrinted>
  <dcterms:created xsi:type="dcterms:W3CDTF">2015-05-19T10:36:31Z</dcterms:created>
  <dcterms:modified xsi:type="dcterms:W3CDTF">2024-11-07T23:47:52Z</dcterms:modified>
</cp:coreProperties>
</file>